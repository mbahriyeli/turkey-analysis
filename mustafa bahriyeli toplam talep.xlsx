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usta\Downloads\"/>
    </mc:Choice>
  </mc:AlternateContent>
  <xr:revisionPtr revIDLastSave="0" documentId="13_ncr:1_{8D4C7350-DA24-4F59-B277-4ADE4F273405}" xr6:coauthVersionLast="47" xr6:coauthVersionMax="47" xr10:uidLastSave="{00000000-0000-0000-0000-000000000000}"/>
  <bookViews>
    <workbookView xWindow="-108" yWindow="-108" windowWidth="23256" windowHeight="12576" tabRatio="819" firstSheet="2" activeTab="8" xr2:uid="{00000000-000D-0000-FFFF-FFFF00000000}"/>
  </bookViews>
  <sheets>
    <sheet name="1.Reel GSYH " sheetId="5" r:id="rId1"/>
    <sheet name="1a. Reel GSYH Payı" sheetId="45" r:id="rId2"/>
    <sheet name="1b. Reel GSYH Pay Grafikleri" sheetId="9" r:id="rId3"/>
    <sheet name="1c. Büyümeye Katkı" sheetId="40" r:id="rId4"/>
    <sheet name="1d. Katkı Grafikleri" sheetId="41" r:id="rId5"/>
    <sheet name="2.Özel Tüketim" sheetId="69" r:id="rId6"/>
    <sheet name="2a. Özel Tük. Grafikler" sheetId="10" r:id="rId7"/>
    <sheet name="3. Özel Yatırımlar" sheetId="42" r:id="rId8"/>
    <sheet name="3a. Özel Yatırım Grafikler" sheetId="11" r:id="rId9"/>
    <sheet name="KAYNAKÇA" sheetId="73" r:id="rId10"/>
    <sheet name="5. Summary" sheetId="72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__BOP2">[1]BoP!#REF!</definedName>
    <definedName name="___EXP5">#REF!</definedName>
    <definedName name="___EXP6">#REF!</definedName>
    <definedName name="___EXP7">#REF!</definedName>
    <definedName name="___EXP9">#REF!</definedName>
    <definedName name="___IMP2">#REF!</definedName>
    <definedName name="___IMP4">#REF!</definedName>
    <definedName name="___IMP6">#REF!</definedName>
    <definedName name="___IMP7">#REF!</definedName>
    <definedName name="___MTS2">'[2]Annual Tables'!#REF!</definedName>
    <definedName name="___PAG2">[2]Index!#REF!</definedName>
    <definedName name="___PAG3">[2]Index!#REF!</definedName>
    <definedName name="___PAG4">[2]Index!#REF!</definedName>
    <definedName name="___PAG5">[2]Index!#REF!</definedName>
    <definedName name="___PAG6">[2]Index!#REF!</definedName>
    <definedName name="___RES2">[1]RES!#REF!</definedName>
    <definedName name="___TAB7">#REF!</definedName>
    <definedName name="__123Graph_A" hidden="1">#REF!</definedName>
    <definedName name="__123Graph_BCurrent" hidden="1">[3]G!#REF!</definedName>
    <definedName name="__BOP1">#REF!</definedName>
    <definedName name="__IMP10">#REF!</definedName>
    <definedName name="__IMP8">#REF!</definedName>
    <definedName name="__PAG7">#REF!</definedName>
    <definedName name="__TAB1">#REF!</definedName>
    <definedName name="__TAB10">#REF!</definedName>
    <definedName name="__TAB12">#REF!</definedName>
    <definedName name="__Tab19">#REF!</definedName>
    <definedName name="__TAB2">#REF!</definedName>
    <definedName name="__Tab20">#REF!</definedName>
    <definedName name="__Tab21">#REF!</definedName>
    <definedName name="__Tab22">#REF!</definedName>
    <definedName name="__Tab23">#REF!</definedName>
    <definedName name="__Tab24">#REF!</definedName>
    <definedName name="__Tab26">#REF!</definedName>
    <definedName name="__Tab27">#REF!</definedName>
    <definedName name="__Tab28">#REF!</definedName>
    <definedName name="__Tab29">#REF!</definedName>
    <definedName name="__TAB3">#REF!</definedName>
    <definedName name="__Tab30">#REF!</definedName>
    <definedName name="__Tab31">#REF!</definedName>
    <definedName name="__Tab32">#REF!</definedName>
    <definedName name="__Tab33">#REF!</definedName>
    <definedName name="__Tab34">#REF!</definedName>
    <definedName name="__Tab35">#REF!</definedName>
    <definedName name="__TAB4">#REF!</definedName>
    <definedName name="__TAB5">#REF!</definedName>
    <definedName name="__TAB8">#REF!</definedName>
    <definedName name="__WEO1">#REF!</definedName>
    <definedName name="__WEO2">#REF!</definedName>
    <definedName name="_5Macros_Import_.qbop">[4]!'[Macros Import].qbop'</definedName>
    <definedName name="_BOP1">#REF!</definedName>
    <definedName name="_BOP2">[1]BoP!#REF!</definedName>
    <definedName name="_DLX1.EMG3">#REF!</definedName>
    <definedName name="_DLX1.USE" localSheetId="10">'[5]Data-In (Annual)'!#REF!</definedName>
    <definedName name="_DLX1.USE">#REF!</definedName>
    <definedName name="_DLX10.USE" localSheetId="10">#REF!</definedName>
    <definedName name="_DLX10.USE">#REF!</definedName>
    <definedName name="_DLX101.USE">'[6]Prices&amp;Money Data (Q)'!#REF!</definedName>
    <definedName name="_DLX102.USE">'[6]Prices&amp;Money Data (Q)'!#REF!</definedName>
    <definedName name="_DLX109.USE">'[6]Prices&amp;Money Data (Q)'!#REF!</definedName>
    <definedName name="_DLX11.USE">#REF!</definedName>
    <definedName name="_DLX110.USE">'[6]Prices&amp;Money Data (Q)'!#REF!</definedName>
    <definedName name="_DLX111.USE">'[6]Prices&amp;Money Data (Q)'!#REF!</definedName>
    <definedName name="_DLX116.USE">'[6]Prices&amp;Money Data (Q)'!#REF!</definedName>
    <definedName name="_DLX12.USE">#REF!</definedName>
    <definedName name="_DLX13.USE">#REF!</definedName>
    <definedName name="_DLX137.USE">'[6]Prices&amp;Money Data (A)'!#REF!</definedName>
    <definedName name="_DLX138.USE">'[6]Prices&amp;Money Data (A)'!#REF!</definedName>
    <definedName name="_DLX139.USE">'[6]Prices&amp;Money Data (A)'!#REF!</definedName>
    <definedName name="_DLX14.USE">#REF!</definedName>
    <definedName name="_DLX140.USE">'[6]Prices&amp;Money Data (A)'!#REF!</definedName>
    <definedName name="_DLX142.USE">'[6]Prices&amp;Money Data (A)'!#REF!</definedName>
    <definedName name="_DLX143.USE">'[6]Prices&amp;Money Data (A)'!#REF!</definedName>
    <definedName name="_DLX144.USE">'[6]Prices&amp;Money Data (A)'!#REF!</definedName>
    <definedName name="_DLX145.USE">'[6]Prices&amp;Money Data (A)'!#REF!</definedName>
    <definedName name="_DLX15.USE">#REF!</definedName>
    <definedName name="_DLX16.USE">#REF!</definedName>
    <definedName name="_DLX17.USE">#REF!</definedName>
    <definedName name="_DLX175.USE">'[6]Fiscal Sector Data (A)'!#REF!</definedName>
    <definedName name="_DLX176.USE">'[6]Fiscal Sector Data (A)'!#REF!</definedName>
    <definedName name="_DLX177.USE">'[6]Fiscal Sector Data (A)'!#REF!</definedName>
    <definedName name="_DLX178.USE">'[6]Fiscal Sector Data (A)'!#REF!</definedName>
    <definedName name="_DLX179.USE">'[6]Fiscal Sector Data (A)'!#REF!</definedName>
    <definedName name="_DLX18.USE">#REF!</definedName>
    <definedName name="_DLX184.USE">'[6]External Sector Data (A)'!#REF!</definedName>
    <definedName name="_DLX185.USE">'[6]External Sector Data (A)'!#REF!</definedName>
    <definedName name="_DLX187.USE">'[6]External Sector Data (A)'!#REF!</definedName>
    <definedName name="_DLX19.USE">#REF!</definedName>
    <definedName name="_DLX195.USE">'[6]External Sector Data (A)'!#REF!</definedName>
    <definedName name="_DLX2.EMG4">#REF!</definedName>
    <definedName name="_DLX2.USE" localSheetId="10">#REF!</definedName>
    <definedName name="_DLX2.USE">#REF!</definedName>
    <definedName name="_DLX20.USE">#REF!</definedName>
    <definedName name="_DLX204.USE">#REF!</definedName>
    <definedName name="_DLX208.USE">'[6]Financial Sector Data (Q)'!#REF!</definedName>
    <definedName name="_DLX209.USE">'[6]Financial Sector Data (Q)'!#REF!</definedName>
    <definedName name="_DLX21.USE">#REF!</definedName>
    <definedName name="_DLX210.USE">'[6]Financial Sector Data (Q)'!#REF!</definedName>
    <definedName name="_DLX212.USE">'[6]Prices&amp;Money Data (A)'!#REF!</definedName>
    <definedName name="_DLX213.USE">'[6]Prices&amp;Money Data (A)'!#REF!</definedName>
    <definedName name="_DLX214.USE">'[6]Prices&amp;Money Data (Q)'!#REF!</definedName>
    <definedName name="_DLX22.USE">#REF!</definedName>
    <definedName name="_DLX221.USE">'[6]External Sector Data (A)'!#REF!</definedName>
    <definedName name="_DLX225.USE">'[6]External Sector Data (A)'!#REF!</definedName>
    <definedName name="_DLX23.USE">#REF!</definedName>
    <definedName name="_DLX230.USE">'[6]Prices&amp;Money Data (Q)'!#REF!</definedName>
    <definedName name="_DLX231.USE">'[6]Prices&amp;Money Data (Q)'!#REF!</definedName>
    <definedName name="_DLX232.USE">'[6]Prices&amp;Money Data (Q)'!#REF!</definedName>
    <definedName name="_DLX233.USE">'[6]Prices&amp;Money Data (Q)'!#REF!</definedName>
    <definedName name="_DLX24.USE">#REF!</definedName>
    <definedName name="_DLX25.USE">#REF!</definedName>
    <definedName name="_DLX253.USE">'[6]External Sector Data (Q)'!#REF!</definedName>
    <definedName name="_DLX26.USE">#REF!</definedName>
    <definedName name="_DLX27.USE">#REF!</definedName>
    <definedName name="_DLX28.USE">#REF!</definedName>
    <definedName name="_DLX29.USE">#REF!</definedName>
    <definedName name="_DLX3.EMG3">#REF!</definedName>
    <definedName name="_DLX3.USE" localSheetId="10">#REF!</definedName>
    <definedName name="_DLX3.USE">#REF!</definedName>
    <definedName name="_DLX30.USE">#REF!</definedName>
    <definedName name="_DLX31.USE">#REF!</definedName>
    <definedName name="_DLX32.USE">#REF!</definedName>
    <definedName name="_DLX33.USE">#REF!</definedName>
    <definedName name="_DLX34.USE">#REF!</definedName>
    <definedName name="_DLX35.USE">#REF!</definedName>
    <definedName name="_DLX36.USE">#REF!</definedName>
    <definedName name="_DLX37.USE">#REF!</definedName>
    <definedName name="_DLX38.USE">#REF!</definedName>
    <definedName name="_DLX39.USE">#REF!</definedName>
    <definedName name="_DLX4.LAT1">#REF!</definedName>
    <definedName name="_DLX4.USE" localSheetId="10">#REF!</definedName>
    <definedName name="_DLX4.USE">#REF!</definedName>
    <definedName name="_DLX40.USE">#REF!</definedName>
    <definedName name="_DLX41.USE">#REF!</definedName>
    <definedName name="_DLX42.USE">#REF!</definedName>
    <definedName name="_DLX45.USE">'[7]Real Sector Data In (Q)'!#REF!</definedName>
    <definedName name="_DLX48.USE">'[6]Prices&amp;Money Data (Q)'!#REF!</definedName>
    <definedName name="_DLX5.USE" localSheetId="10">#REF!</definedName>
    <definedName name="_DLX5.USE">#REF!</definedName>
    <definedName name="_DLX50.USE">'[7]Real Sector Data In (Q)'!#REF!</definedName>
    <definedName name="_DLX51.USE">'[7]Real Sector Data In (Q)'!#REF!</definedName>
    <definedName name="_DLX52.USE">#REF!</definedName>
    <definedName name="_DLX54.USE">'[8]DATA-IN (Monthly)'!#REF!</definedName>
    <definedName name="_DLX55.USE">'[8]DATA-IN (Quarterly)'!#REF!</definedName>
    <definedName name="_DLX56.USE">'[7]Real Sector Data In (A)'!#REF!</definedName>
    <definedName name="_DLX57.USE">'[6]Prices&amp;Money Data (Q)'!#REF!</definedName>
    <definedName name="_DLX58.USE">'[6]Prices&amp;Money Data (Q)'!#REF!</definedName>
    <definedName name="_DLX59.USE">'[6]Prices&amp;Money Data (Q)'!#REF!</definedName>
    <definedName name="_DLX6.USE" localSheetId="10">#REF!</definedName>
    <definedName name="_DLX6.USE">#REF!</definedName>
    <definedName name="_DLX60.USE">'[6]Prices&amp;Money Data (Q)'!#REF!</definedName>
    <definedName name="_DLX61.USE">'[8]DATA-IN (Quarterly)'!#REF!</definedName>
    <definedName name="_DLX7.USE" localSheetId="10">#REF!</definedName>
    <definedName name="_DLX7.USE">#REF!</definedName>
    <definedName name="_DLX75.USE">'[6]Real Sector Data (A)'!#REF!</definedName>
    <definedName name="_DLX8.USE" localSheetId="10">#REF!</definedName>
    <definedName name="_DLX8.USE">#REF!</definedName>
    <definedName name="_DLX82.USE">'[6]Real Sector Data (A)'!#REF!</definedName>
    <definedName name="_DLX83.USE">'[6]Real Sector Data (A)'!#REF!</definedName>
    <definedName name="_DLX84.USE">'[6]Real Sector Data (A)'!#REF!</definedName>
    <definedName name="_DLX85.USE">'[6]Real Sector Data (A)'!#REF!</definedName>
    <definedName name="_DLX9.USE" localSheetId="10">#REF!</definedName>
    <definedName name="_DLX9.USE">#REF!</definedName>
    <definedName name="_DLX90.USE">'[6]Real Sector Data (A)'!#REF!</definedName>
    <definedName name="_DLX91.USE">'[6]Real Sector Data (A)'!#REF!</definedName>
    <definedName name="_DLX95.USE">'[6]Prices&amp;Money Data (Q)'!#REF!</definedName>
    <definedName name="_DLX96.USE">'[6]Prices&amp;Money Data (Q)'!#REF!</definedName>
    <definedName name="_DLX97.USE">'[6]Prices&amp;Money Data (Q)'!#REF!</definedName>
    <definedName name="_DLX98.USE">'[6]Prices&amp;Money Data (Q)'!#REF!</definedName>
    <definedName name="_DLX99.USE">'[6]Prices&amp;Money Data (Q)'!#REF!</definedName>
    <definedName name="_EXP5">#REF!</definedName>
    <definedName name="_EXP6">#REF!</definedName>
    <definedName name="_EXP7">#REF!</definedName>
    <definedName name="_EXP9">#REF!</definedName>
    <definedName name="_Fill" hidden="1">#REF!</definedName>
    <definedName name="_xlnm._FilterDatabase" localSheetId="5" hidden="1">'2.Özel Tüketim'!$A$12:$AD$107</definedName>
    <definedName name="_IMP10">#REF!</definedName>
    <definedName name="_IMP2">#REF!</definedName>
    <definedName name="_IMP4">#REF!</definedName>
    <definedName name="_IMP6">#REF!</definedName>
    <definedName name="_IMP7">#REF!</definedName>
    <definedName name="_IMP8">#REF!</definedName>
    <definedName name="_MTS2">'[2]Annual Tables'!#REF!</definedName>
    <definedName name="_Order1" hidden="1">255</definedName>
    <definedName name="_Order2" hidden="1">255</definedName>
    <definedName name="_PAG2">[2]Index!#REF!</definedName>
    <definedName name="_PAG3">[2]Index!#REF!</definedName>
    <definedName name="_PAG4">[2]Index!#REF!</definedName>
    <definedName name="_PAG5">[2]Index!#REF!</definedName>
    <definedName name="_PAG6">[2]Index!#REF!</definedName>
    <definedName name="_PAG7">#REF!</definedName>
    <definedName name="_RES2">[1]RES!#REF!</definedName>
    <definedName name="_TAB1">#REF!</definedName>
    <definedName name="_TAB10">#REF!</definedName>
    <definedName name="_TAB12">#REF!</definedName>
    <definedName name="_Tab19">#REF!</definedName>
    <definedName name="_TAB2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6">#REF!</definedName>
    <definedName name="_Tab27">#REF!</definedName>
    <definedName name="_Tab28">#REF!</definedName>
    <definedName name="_Tab29">#REF!</definedName>
    <definedName name="_TAB3">#REF!</definedName>
    <definedName name="_Tab30">#REF!</definedName>
    <definedName name="_Tab31">#REF!</definedName>
    <definedName name="_Tab32">#REF!</definedName>
    <definedName name="_Tab33">#REF!</definedName>
    <definedName name="_Tab34">#REF!</definedName>
    <definedName name="_Tab35">#REF!</definedName>
    <definedName name="_TAB4">#REF!</definedName>
    <definedName name="_TAB5">#REF!</definedName>
    <definedName name="_TAB7">#REF!</definedName>
    <definedName name="_TAB8">#REF!</definedName>
    <definedName name="_Tab9">'[9]Dom GS OECD countries'!$B$5:$P$62</definedName>
    <definedName name="_WEO1">#REF!</definedName>
    <definedName name="_WEO2">#REF!</definedName>
    <definedName name="a">#REF!</definedName>
    <definedName name="Africa">#REF!</definedName>
    <definedName name="ar_i_dag">2008</definedName>
    <definedName name="Asia">#REF!</definedName>
    <definedName name="atrade">[4]!atrade</definedName>
    <definedName name="b">#REF!</definedName>
    <definedName name="BASDAT">'[2]Annual Tables'!#REF!</definedName>
    <definedName name="bb" hidden="1">{"Riqfin97",#N/A,FALSE,"Tran";"Riqfinpro",#N/A,FALSE,"Tran"}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E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[10]Q6!$E$28:$AH$28</definedName>
    <definedName name="BMII">#N/A</definedName>
    <definedName name="BMIIB">#N/A</definedName>
    <definedName name="BMIIG">#N/A</definedName>
    <definedName name="Bolivia">#REF!</definedName>
    <definedName name="BOP">#N/A</definedName>
    <definedName name="Brazil">#REF!</definedName>
    <definedName name="Budget_expenditure">#REF!</definedName>
    <definedName name="Budget_revenue">#REF!</definedName>
    <definedName name="BXG">[10]Q6!$E$26:$AH$26</definedName>
    <definedName name="calcNGS_NGDP">#N/A</definedName>
    <definedName name="cc" hidden="1">{"Riqfin97",#N/A,FALSE,"Tran";"Riqfinpro",#N/A,FALSE,"Tran"}</definedName>
    <definedName name="ccc" hidden="1">{"Riqfin97",#N/A,FALSE,"Tran";"Riqfinpro",#N/A,FALSE,"Tran"}</definedName>
    <definedName name="CEE_BRO">#REF!</definedName>
    <definedName name="CHILE">#REF!</definedName>
    <definedName name="CHK">#REF!</definedName>
    <definedName name="cntryname">'[11]country name lookup'!$A$1:$B$50</definedName>
    <definedName name="CONCK">#REF!</definedName>
    <definedName name="Cons">#REF!</definedName>
    <definedName name="Consumption_HP">#REF!</definedName>
    <definedName name="CurrVintage">[12]Current!$D$66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>#REF!</definedName>
    <definedName name="dates">#REF!</definedName>
    <definedName name="dates_w">#REF!</definedName>
    <definedName name="DBproj">#N/A</definedName>
    <definedName name="dd" hidden="1">{"Riqfin97",#N/A,FALSE,"Tran";"Riqfinpro",#N/A,FALSE,"Tran"}</definedName>
    <definedName name="ddd" hidden="1">{"Riqfin97",#N/A,FALSE,"Tran";"Riqfinpro",#N/A,FALSE,"Tran"}</definedName>
    <definedName name="DEBT1">#REF!</definedName>
    <definedName name="DEBT10">#REF!</definedName>
    <definedName name="DEBT11">#REF!</definedName>
    <definedName name="DEBT12">#REF!</definedName>
    <definedName name="DEBT13">#REF!</definedName>
    <definedName name="DEBT14">#REF!</definedName>
    <definedName name="DEBT15">#REF!</definedName>
    <definedName name="DEBT16">#REF!</definedName>
    <definedName name="DEBT2">#REF!</definedName>
    <definedName name="DEBT3">#REF!</definedName>
    <definedName name="DEBT4">#REF!</definedName>
    <definedName name="DEBT5">#REF!</definedName>
    <definedName name="DEBT6">#REF!</definedName>
    <definedName name="DEBT7">#REF!</definedName>
    <definedName name="DEBT8">#REF!</definedName>
    <definedName name="DEBT9">#REF!</definedName>
    <definedName name="DGproj">#N/A</definedName>
    <definedName name="DME_Dirty" hidden="1">"False"</definedName>
    <definedName name="DME_LocalFile" hidden="1">"True"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DNA">#N/A</definedName>
    <definedName name="ee" hidden="1">{"Tab1",#N/A,FALSE,"P";"Tab2",#N/A,FALSE,"P"}</definedName>
    <definedName name="eee" hidden="1">{"Tab1",#N/A,FALSE,"P";"Tab2",#N/A,FALSE,"P"}</definedName>
    <definedName name="Efn_hmb__DB">[13]EFN_HMB_!$A$1:$D$250</definedName>
    <definedName name="Efn_man__DB">[14]EFN_MAN_!$A$1:$D$226</definedName>
    <definedName name="elect">#REF!</definedName>
    <definedName name="EMETEL">#REF!</definedName>
    <definedName name="ENDA">#N/A</definedName>
    <definedName name="EUI">#REF!</definedName>
    <definedName name="ff" hidden="1">{"Tab1",#N/A,FALSE,"P";"Tab2",#N/A,FALSE,"P"}</definedName>
    <definedName name="fff" hidden="1">{"Tab1",#N/A,FALSE,"P";"Tab2",#N/A,FALSE,"P"}</definedName>
    <definedName name="FISUM">#REF!</definedName>
    <definedName name="finan">#REF!</definedName>
    <definedName name="finan1">#REF!</definedName>
    <definedName name="Financing" hidden="1">{"Tab1",#N/A,FALSE,"P";"Tab2",#N/A,FALSE,"P"}</definedName>
    <definedName name="FLOPEC">#REF!</definedName>
    <definedName name="FODESEC">#REF!</definedName>
    <definedName name="g">#REF!</definedName>
    <definedName name="GCB_NGDP">#N/A</definedName>
    <definedName name="GGB_NGDP">#N/A</definedName>
    <definedName name="ggg" hidden="1">{"Riqfin97",#N/A,FALSE,"Tran";"Riqfinpro",#N/A,FALSE,"Tran"}</definedName>
    <definedName name="ggggg" hidden="1">'[15]J(Priv.Cap)'!#REF!</definedName>
    <definedName name="hhh" hidden="1">'[16]J(Priv.Cap)'!#REF!</definedName>
    <definedName name="HTML_CodePage" hidden="1">1254</definedName>
    <definedName name="HTML_Control" hidden="1">{"'Sheet1'!$A$1:$Q$33"}</definedName>
    <definedName name="HTML_Description" hidden="1">""</definedName>
    <definedName name="HTML_Email" hidden="1">"vayvadae@pm.treasury.gov.tr"</definedName>
    <definedName name="HTML_Header" hidden="1">""</definedName>
    <definedName name="HTML_LastUpdate" hidden="1">"29.04.99"</definedName>
    <definedName name="HTML_LineAfter" hidden="1">FALSE</definedName>
    <definedName name="HTML_LineBefore" hidden="1">FALSE</definedName>
    <definedName name="HTML_Name" hidden="1">"Eylem Vayvada"</definedName>
    <definedName name="HTML_OBDlg2" hidden="1">TRUE</definedName>
    <definedName name="HTML_OBDlg4" hidden="1">TRUE</definedName>
    <definedName name="HTML_OS" hidden="1">0</definedName>
    <definedName name="HTML_PathFile" hidden="1">"L:\icborc\EYLEM\yeniduzen\ekleme\ti13.htm"</definedName>
    <definedName name="HTML_Title" hidden="1">"ICBORCLANMANIN VADE YAPISI"</definedName>
    <definedName name="IESS">#REF!</definedName>
    <definedName name="INECEL">#REF!</definedName>
    <definedName name="INPUT_2">[1]Input!#REF!</definedName>
    <definedName name="INPUT_4">[1]Input!#REF!</definedName>
    <definedName name="i">#REF!</definedName>
    <definedName name="ii" hidden="1">{"Tab1",#N/A,FALSE,"P";"Tab2",#N/A,FALSE,"P"}</definedName>
    <definedName name="ima">#REF!</definedName>
    <definedName name="ind">#REF!</definedName>
    <definedName name="jj" hidden="1">{"Riqfin97",#N/A,FALSE,"Tran";"Riqfinpro",#N/A,FALSE,"Tran"}</definedName>
    <definedName name="jjj" hidden="1">[17]M!#REF!</definedName>
    <definedName name="jjjjjj" hidden="1">'[15]J(Priv.Cap)'!#REF!</definedName>
    <definedName name="kk" hidden="1">{"Tab1",#N/A,FALSE,"P";"Tab2",#N/A,FALSE,"P"}</definedName>
    <definedName name="kkk" hidden="1">{"Tab1",#N/A,FALSE,"P";"Tab2",#N/A,FALSE,"P"}</definedName>
    <definedName name="kkkk" hidden="1">[18]M!#REF!</definedName>
    <definedName name="ll" hidden="1">{"Tab1",#N/A,FALSE,"P";"Tab2",#N/A,FALSE,"P"}</definedName>
    <definedName name="lll" hidden="1">{"Riqfin97",#N/A,FALSE,"Tran";"Riqfinpro",#N/A,FALSE,"Tran"}</definedName>
    <definedName name="llll" hidden="1">[17]M!#REF!</definedName>
    <definedName name="LUR">#N/A</definedName>
    <definedName name="Malaysia">#REF!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MED">#REF!</definedName>
    <definedName name="MENORES">#REF!</definedName>
    <definedName name="MFISCAL">'[2]Annual Raw Data'!#REF!</definedName>
    <definedName name="mflowsa">[4]!mflowsa</definedName>
    <definedName name="mflowsq">[4]!mflowsq</definedName>
    <definedName name="MICRO">#REF!</definedName>
    <definedName name="MISC3">#REF!</definedName>
    <definedName name="MISC4">[1]OUTPUT!#REF!</definedName>
    <definedName name="mmm" hidden="1">{"Riqfin97",#N/A,FALSE,"Tran";"Riqfinpro",#N/A,FALSE,"Tran"}</definedName>
    <definedName name="mmmm" hidden="1">{"Tab1",#N/A,FALSE,"P";"Tab2",#N/A,FALSE,"P"}</definedName>
    <definedName name="MON_SM">#REF!</definedName>
    <definedName name="MONF_SM">#REF!</definedName>
    <definedName name="mstocksa">[4]!mstocksa</definedName>
    <definedName name="mstocksq">[4]!mstocksq</definedName>
    <definedName name="Municipios">#REF!</definedName>
    <definedName name="names">#REF!</definedName>
    <definedName name="names_w">#REF!</definedName>
    <definedName name="NCG">#N/A</definedName>
    <definedName name="NCG_R">#N/A</definedName>
    <definedName name="NCP">#N/A</definedName>
    <definedName name="NCP_R">#N/A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DPA">#REF!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n" hidden="1">{"Riqfin97",#N/A,FALSE,"Tran";"Riqfinpro",#N/A,FALSE,"Tran"}</definedName>
    <definedName name="nnn" hidden="1">{"Tab1",#N/A,FALSE,"P";"Tab2",#N/A,FALSE,"P"}</definedName>
    <definedName name="NTDD_RG">#N/A</definedName>
    <definedName name="NX">#N/A</definedName>
    <definedName name="NX_R">#N/A</definedName>
    <definedName name="NXG_RG">#N/A</definedName>
    <definedName name="OECD">'[9]VAT rates OECD Countries'!$B$5:$G$68</definedName>
    <definedName name="oo" hidden="1">{"Riqfin97",#N/A,FALSE,"Tran";"Riqfinpro",#N/A,FALSE,"Tran"}</definedName>
    <definedName name="ooo" hidden="1">{"Tab1",#N/A,FALSE,"P";"Tab2",#N/A,FALSE,"P"}</definedName>
    <definedName name="Otras_Residuales">#REF!</definedName>
    <definedName name="p" hidden="1">{"Riqfin97",#N/A,FALSE,"Tran";"Riqfinpro",#N/A,FALSE,"Tran"}</definedName>
    <definedName name="Part1">#REF!</definedName>
    <definedName name="PCPIG">#N/A</definedName>
    <definedName name="Petroecuador">#REF!</definedName>
    <definedName name="Ports">#REF!</definedName>
    <definedName name="pp" hidden="1">{"Riqfin97",#N/A,FALSE,"Tran";"Riqfinpro",#N/A,FALSE,"Tran"}</definedName>
    <definedName name="ppp" hidden="1">{"Riqfin97",#N/A,FALSE,"Tran";"Riqfinpro",#N/A,FALSE,"Tran"}</definedName>
    <definedName name="PPPWGT">#N/A</definedName>
    <definedName name="_xlnm.Print_Area">#REF!</definedName>
    <definedName name="Q6_">#REF!</definedName>
    <definedName name="QFISCAL">'[2]Quarterly Raw Data'!#REF!</definedName>
    <definedName name="qq" hidden="1">'[16]J(Priv.Cap)'!#REF!</definedName>
    <definedName name="QTAB7">'[2]Quarterly MacroFlow'!#REF!</definedName>
    <definedName name="QTAB7A">'[2]Quarterly MacroFlow'!#REF!</definedName>
    <definedName name="QW">#REF!</definedName>
    <definedName name="REDTbl3">#REF!</definedName>
    <definedName name="REDTbl4">#REF!</definedName>
    <definedName name="REDTbl5">#REF!</definedName>
    <definedName name="REDTbl6">#REF!</definedName>
    <definedName name="REDTbl7">#REF!</definedName>
    <definedName name="RGDPA">#REF!</definedName>
    <definedName name="RGSPA">#REF!</definedName>
    <definedName name="rr" hidden="1">{"Riqfin97",#N/A,FALSE,"Tran";"Riqfinpro",#N/A,FALSE,"Tran"}</definedName>
    <definedName name="rrr" hidden="1">{"Riqfin97",#N/A,FALSE,"Tran";"Riqfinpro",#N/A,FALSE,"Tran"}</definedName>
    <definedName name="rrttttttttttttttttttt">'[2]Annual Tables'!#REF!</definedName>
    <definedName name="SS">[19]IMATA!$B$45:$B$108</definedName>
    <definedName name="TAB1A">#REF!</definedName>
    <definedName name="TAB1CK">#REF!</definedName>
    <definedName name="Tab25a">#REF!</definedName>
    <definedName name="Tab25b">#REF!</definedName>
    <definedName name="TAB2A">#REF!</definedName>
    <definedName name="TAB5A">#REF!</definedName>
    <definedName name="TAB6A">'[2]Annual Tables'!#REF!</definedName>
    <definedName name="TAB6B">'[2]Annual Tables'!#REF!</definedName>
    <definedName name="TAB6C">#REF!</definedName>
    <definedName name="TAB7A">#REF!</definedName>
    <definedName name="Table__47">[20]RED47!$A$1:$I$53</definedName>
    <definedName name="Table_2._Country_X___Public_Sector_Financing_1">#REF!</definedName>
    <definedName name="Table_4SR">#REF!</definedName>
    <definedName name="TAME">#REF!</definedName>
    <definedName name="Tegsun_DB">[21]tegsun!$A$1:$F$1136</definedName>
    <definedName name="TMG_D">[10]Q5!$E$23:$AH$23</definedName>
    <definedName name="TMGO">#N/A</definedName>
    <definedName name="Total_Consumption">#REF!</definedName>
    <definedName name="TOWEO">#REF!</definedName>
    <definedName name="TPD">#REF!</definedName>
    <definedName name="TRADE3">[1]Trade!#REF!</definedName>
    <definedName name="trans">#REF!</definedName>
    <definedName name="Transfer_check">#REF!</definedName>
    <definedName name="TRANSNAVE">#REF!</definedName>
    <definedName name="tt" hidden="1">{"Tab1",#N/A,FALSE,"P";"Tab2",#N/A,FALSE,"P"}</definedName>
    <definedName name="ttt" hidden="1">{"Tab1",#N/A,FALSE,"P";"Tab2",#N/A,FALSE,"P"}</definedName>
    <definedName name="ttttt" hidden="1">[17]M!#REF!</definedName>
    <definedName name="tttttttttttttttttt">[2]Index!#REF!</definedName>
    <definedName name="TXG_D">#N/A</definedName>
    <definedName name="TXGO">#N/A</definedName>
    <definedName name="Universities">#REF!</definedName>
    <definedName name="Uruguay">#REF!</definedName>
    <definedName name="uu" hidden="1">{"Riqfin97",#N/A,FALSE,"Tran";"Riqfinpro",#N/A,FALSE,"Tran"}</definedName>
    <definedName name="uuu" hidden="1">{"Riqfin97",#N/A,FALSE,"Tran";"Riqfinpro",#N/A,FALSE,"Tran"}</definedName>
    <definedName name="Venezuela">#REF!</definedName>
    <definedName name="vv" hidden="1">{"Tab1",#N/A,FALSE,"P";"Tab2",#N/A,FALSE,"P"}</definedName>
    <definedName name="vvv" hidden="1">{"Tab1",#N/A,FALSE,"P";"Tab2",#N/A,FALSE,"P"}</definedName>
    <definedName name="WHD">#REF!</definedName>
    <definedName name="wrn.Program." hidden="1">{"Tab1",#N/A,FALSE,"P";"Tab2",#N/A,FALSE,"P"}</definedName>
    <definedName name="wrn.Riqfin." hidden="1">{"Riqfin97",#N/A,FALSE,"Tran";"Riqfinpro",#N/A,FALSE,"Tran"}</definedName>
    <definedName name="ww" hidden="1">[17]M!#REF!</definedName>
    <definedName name="www" hidden="1">{"Riqfin97",#N/A,FALSE,"Tran";"Riqfinpro",#N/A,FALSE,"Tran"}</definedName>
    <definedName name="x">#REF!</definedName>
    <definedName name="xx" hidden="1">{"Riqfin97",#N/A,FALSE,"Tran";"Riqfinpro",#N/A,FALSE,"Tran"}</definedName>
    <definedName name="xxxx" hidden="1">{"Riqfin97",#N/A,FALSE,"Tran";"Riqfinpro",#N/A,FALSE,"Tran"}</definedName>
    <definedName name="yy" hidden="1">{"Tab1",#N/A,FALSE,"P";"Tab2",#N/A,FALSE,"P"}</definedName>
    <definedName name="yyy" hidden="1">{"Tab1",#N/A,FALSE,"P";"Tab2",#N/A,FALSE,"P"}</definedName>
    <definedName name="yyyy" hidden="1">{"Riqfin97",#N/A,FALSE,"Tran";"Riqfinpro",#N/A,FALSE,"Tran"}</definedName>
    <definedName name="Z_95224721_0485_11D4_BFD1_00508B5F4DA4_.wvu.Cols" hidden="1">#REF!</definedName>
    <definedName name="zz" hidden="1">{"Tab1",#N/A,FALSE,"P";"Tab2",#N/A,FALSE,"P"}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77" i="40" l="1"/>
  <c r="T78" i="40"/>
  <c r="T79" i="40"/>
  <c r="T80" i="40"/>
  <c r="T81" i="40"/>
  <c r="T82" i="40"/>
  <c r="T83" i="40"/>
  <c r="T84" i="40"/>
  <c r="T85" i="40"/>
  <c r="T86" i="40"/>
  <c r="T87" i="40"/>
  <c r="T88" i="40"/>
  <c r="T89" i="40"/>
  <c r="T90" i="40"/>
  <c r="T91" i="40"/>
  <c r="T92" i="40"/>
  <c r="T93" i="40"/>
  <c r="T95" i="40"/>
  <c r="T96" i="40"/>
  <c r="T97" i="40"/>
  <c r="T98" i="40"/>
  <c r="T99" i="40"/>
  <c r="T100" i="40"/>
  <c r="T101" i="40"/>
  <c r="T102" i="40"/>
  <c r="T103" i="40"/>
  <c r="T104" i="40"/>
  <c r="T105" i="40"/>
  <c r="T106" i="40"/>
  <c r="T107" i="40"/>
  <c r="T94" i="40"/>
  <c r="Y82" i="40"/>
  <c r="Y83" i="40"/>
  <c r="Y84" i="40"/>
  <c r="Y85" i="40"/>
  <c r="Y86" i="40"/>
  <c r="Y87" i="40"/>
  <c r="Y88" i="40"/>
  <c r="Y89" i="40"/>
  <c r="Y90" i="40"/>
  <c r="Y91" i="40"/>
  <c r="Y92" i="40"/>
  <c r="Y93" i="40"/>
  <c r="Y94" i="40"/>
  <c r="Y95" i="40"/>
  <c r="Y96" i="40"/>
  <c r="Y97" i="40"/>
  <c r="Y98" i="40"/>
  <c r="Y99" i="40"/>
  <c r="Y100" i="40"/>
  <c r="Y101" i="40"/>
  <c r="Y102" i="40"/>
  <c r="Y103" i="40"/>
  <c r="Y104" i="40"/>
  <c r="Y105" i="40"/>
  <c r="Y106" i="40"/>
  <c r="Y107" i="40"/>
  <c r="Y81" i="40"/>
  <c r="P78" i="40"/>
  <c r="P79" i="40"/>
  <c r="P80" i="40"/>
  <c r="P81" i="40"/>
  <c r="P82" i="40"/>
  <c r="P83" i="40"/>
  <c r="P84" i="40"/>
  <c r="P85" i="40"/>
  <c r="P86" i="40"/>
  <c r="P87" i="40"/>
  <c r="P88" i="40"/>
  <c r="P89" i="40"/>
  <c r="P90" i="40"/>
  <c r="P91" i="40"/>
  <c r="P92" i="40"/>
  <c r="P93" i="40"/>
  <c r="P94" i="40"/>
  <c r="P95" i="40"/>
  <c r="P96" i="40"/>
  <c r="P97" i="40"/>
  <c r="P98" i="40"/>
  <c r="P99" i="40"/>
  <c r="P100" i="40"/>
  <c r="P101" i="40"/>
  <c r="P102" i="40"/>
  <c r="P103" i="40"/>
  <c r="P104" i="40"/>
  <c r="P105" i="40"/>
  <c r="P106" i="40"/>
  <c r="P107" i="40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29" i="5"/>
  <c r="K78" i="40" l="1"/>
  <c r="K79" i="40"/>
  <c r="K80" i="40"/>
  <c r="K81" i="40"/>
  <c r="K82" i="40"/>
  <c r="K83" i="40"/>
  <c r="K84" i="40"/>
  <c r="K85" i="40"/>
  <c r="K86" i="40"/>
  <c r="K87" i="40"/>
  <c r="K88" i="40"/>
  <c r="K89" i="40"/>
  <c r="K90" i="40"/>
  <c r="K91" i="40"/>
  <c r="K92" i="40"/>
  <c r="K93" i="40"/>
  <c r="K94" i="40"/>
  <c r="K95" i="40"/>
  <c r="K96" i="40"/>
  <c r="K97" i="40"/>
  <c r="K98" i="40"/>
  <c r="K99" i="40"/>
  <c r="K100" i="40"/>
  <c r="K101" i="40"/>
  <c r="K102" i="40"/>
  <c r="K103" i="40"/>
  <c r="K104" i="40"/>
  <c r="K105" i="40"/>
  <c r="K106" i="40"/>
  <c r="K107" i="40"/>
  <c r="K77" i="40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73" i="5"/>
  <c r="D74" i="5"/>
  <c r="D75" i="5"/>
  <c r="D76" i="5"/>
  <c r="D77" i="5"/>
  <c r="D78" i="5"/>
  <c r="D79" i="5"/>
  <c r="D80" i="5"/>
  <c r="D113" i="5" s="1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73" i="5"/>
  <c r="D112" i="5" s="1"/>
  <c r="Q113" i="5"/>
  <c r="Q110" i="5"/>
  <c r="Q111" i="5"/>
  <c r="W113" i="5"/>
  <c r="W112" i="5"/>
  <c r="W111" i="5"/>
  <c r="W110" i="5"/>
  <c r="X113" i="5"/>
  <c r="X112" i="5"/>
  <c r="X111" i="5"/>
  <c r="X110" i="5"/>
  <c r="R113" i="5"/>
  <c r="R112" i="5"/>
  <c r="R111" i="5"/>
  <c r="R110" i="5"/>
  <c r="H113" i="5"/>
  <c r="H112" i="5"/>
  <c r="H111" i="5"/>
  <c r="H110" i="5"/>
  <c r="G110" i="5"/>
  <c r="U113" i="5"/>
  <c r="S113" i="5"/>
  <c r="P113" i="5"/>
  <c r="O113" i="5"/>
  <c r="N113" i="5"/>
  <c r="K113" i="5"/>
  <c r="I113" i="5"/>
  <c r="G113" i="5"/>
  <c r="F113" i="5"/>
  <c r="E113" i="5"/>
  <c r="U112" i="5"/>
  <c r="S112" i="5"/>
  <c r="P112" i="5"/>
  <c r="O112" i="5"/>
  <c r="N112" i="5"/>
  <c r="K112" i="5"/>
  <c r="I112" i="5"/>
  <c r="G112" i="5"/>
  <c r="F112" i="5"/>
  <c r="E112" i="5"/>
  <c r="U111" i="5"/>
  <c r="S111" i="5"/>
  <c r="P111" i="5"/>
  <c r="O111" i="5"/>
  <c r="N111" i="5"/>
  <c r="K111" i="5"/>
  <c r="I111" i="5"/>
  <c r="G111" i="5"/>
  <c r="F111" i="5"/>
  <c r="E111" i="5"/>
  <c r="D111" i="5"/>
  <c r="U110" i="5"/>
  <c r="S110" i="5"/>
  <c r="P110" i="5"/>
  <c r="O110" i="5"/>
  <c r="N110" i="5"/>
  <c r="K110" i="5"/>
  <c r="I110" i="5"/>
  <c r="F110" i="5"/>
  <c r="E110" i="5"/>
  <c r="D110" i="5"/>
  <c r="Q112" i="5" l="1"/>
  <c r="Y9" i="5"/>
  <c r="D13" i="40"/>
  <c r="E13" i="40"/>
  <c r="D12" i="45" l="1"/>
  <c r="B13" i="40" l="1"/>
  <c r="O12" i="45"/>
  <c r="M12" i="45"/>
  <c r="K12" i="45"/>
  <c r="N12" i="45"/>
  <c r="E12" i="45"/>
  <c r="I12" i="45"/>
  <c r="G12" i="45"/>
  <c r="C12" i="45"/>
  <c r="F12" i="45"/>
  <c r="L12" i="45"/>
  <c r="M112" i="5"/>
  <c r="M113" i="5" l="1"/>
  <c r="M110" i="5"/>
  <c r="M111" i="5"/>
  <c r="B12" i="45"/>
  <c r="I106" i="69"/>
  <c r="I105" i="69"/>
  <c r="I104" i="69"/>
  <c r="I103" i="69"/>
  <c r="I102" i="69"/>
  <c r="I101" i="69"/>
  <c r="I100" i="69"/>
  <c r="I99" i="69"/>
  <c r="I98" i="69"/>
  <c r="I97" i="69"/>
  <c r="I96" i="69"/>
  <c r="I95" i="69"/>
  <c r="I94" i="69"/>
  <c r="I93" i="69"/>
  <c r="I92" i="69"/>
  <c r="I91" i="69"/>
  <c r="I90" i="69"/>
  <c r="I89" i="69"/>
  <c r="I88" i="69"/>
  <c r="I87" i="69"/>
  <c r="I86" i="69"/>
  <c r="I85" i="69"/>
  <c r="I84" i="69"/>
  <c r="I83" i="69"/>
  <c r="I82" i="69"/>
  <c r="I81" i="69"/>
  <c r="I80" i="69"/>
  <c r="I79" i="69"/>
  <c r="I78" i="69"/>
  <c r="I77" i="69"/>
  <c r="I76" i="69"/>
  <c r="I75" i="69"/>
  <c r="I74" i="69"/>
  <c r="I73" i="69"/>
  <c r="I72" i="69"/>
  <c r="I71" i="69"/>
  <c r="I70" i="69"/>
  <c r="I69" i="69"/>
  <c r="I68" i="69"/>
  <c r="I67" i="69"/>
  <c r="I66" i="69"/>
  <c r="I65" i="69"/>
  <c r="I64" i="69"/>
  <c r="I63" i="69"/>
  <c r="I62" i="69"/>
  <c r="I61" i="69"/>
  <c r="I60" i="69"/>
  <c r="I59" i="69"/>
  <c r="I58" i="69"/>
  <c r="I57" i="69"/>
  <c r="I56" i="69"/>
  <c r="I55" i="69"/>
  <c r="I54" i="69"/>
  <c r="I53" i="69"/>
  <c r="I52" i="69"/>
  <c r="I51" i="69"/>
  <c r="I50" i="69"/>
  <c r="I49" i="69"/>
  <c r="I48" i="69"/>
  <c r="I47" i="69"/>
  <c r="I46" i="69"/>
  <c r="I45" i="69"/>
  <c r="I44" i="69"/>
  <c r="I43" i="69"/>
  <c r="I42" i="69"/>
  <c r="I41" i="69"/>
  <c r="I40" i="69"/>
  <c r="I39" i="69"/>
  <c r="I38" i="69"/>
  <c r="I37" i="69"/>
  <c r="I36" i="69"/>
  <c r="I35" i="69"/>
  <c r="I34" i="69"/>
  <c r="I33" i="69"/>
  <c r="I32" i="69"/>
  <c r="I31" i="69"/>
  <c r="I30" i="69"/>
  <c r="I29" i="69"/>
  <c r="I28" i="69"/>
  <c r="I27" i="69"/>
  <c r="I26" i="69"/>
  <c r="I25" i="69"/>
  <c r="I24" i="69"/>
  <c r="I23" i="69"/>
  <c r="I22" i="69"/>
  <c r="I21" i="69"/>
  <c r="I20" i="69"/>
  <c r="I19" i="69"/>
  <c r="I18" i="69"/>
  <c r="I17" i="69"/>
  <c r="I16" i="69"/>
  <c r="I15" i="69"/>
  <c r="I14" i="69"/>
  <c r="I13" i="69"/>
  <c r="I12" i="69"/>
  <c r="I111" i="69" l="1"/>
  <c r="I110" i="69"/>
  <c r="I113" i="69"/>
  <c r="I109" i="69"/>
  <c r="I112" i="69"/>
  <c r="W75" i="69"/>
  <c r="W40" i="69"/>
  <c r="W43" i="69"/>
  <c r="W23" i="69"/>
  <c r="W55" i="69"/>
  <c r="W73" i="69"/>
  <c r="W89" i="69"/>
  <c r="W87" i="69"/>
  <c r="W24" i="69"/>
  <c r="W16" i="69"/>
  <c r="W32" i="69"/>
  <c r="W81" i="69"/>
  <c r="W47" i="69"/>
  <c r="W79" i="69"/>
  <c r="W48" i="69"/>
  <c r="W56" i="69"/>
  <c r="W64" i="69"/>
  <c r="W72" i="69"/>
  <c r="W80" i="69"/>
  <c r="W88" i="69"/>
  <c r="W96" i="69"/>
  <c r="W104" i="69"/>
  <c r="W17" i="69"/>
  <c r="W25" i="69"/>
  <c r="W33" i="69"/>
  <c r="W41" i="69"/>
  <c r="W49" i="69"/>
  <c r="W57" i="69"/>
  <c r="W65" i="69"/>
  <c r="W97" i="69"/>
  <c r="W105" i="69"/>
  <c r="W18" i="69"/>
  <c r="W26" i="69"/>
  <c r="W34" i="69"/>
  <c r="W42" i="69"/>
  <c r="W50" i="69"/>
  <c r="W58" i="69"/>
  <c r="W66" i="69"/>
  <c r="W74" i="69"/>
  <c r="W82" i="69"/>
  <c r="W90" i="69"/>
  <c r="W98" i="69"/>
  <c r="W106" i="69"/>
  <c r="W35" i="69"/>
  <c r="W67" i="69"/>
  <c r="W83" i="69"/>
  <c r="W95" i="69"/>
  <c r="W99" i="69"/>
  <c r="W19" i="69"/>
  <c r="W51" i="69"/>
  <c r="W27" i="69"/>
  <c r="W63" i="69"/>
  <c r="W103" i="69"/>
  <c r="W71" i="69"/>
  <c r="W39" i="69"/>
  <c r="W20" i="69"/>
  <c r="W28" i="69"/>
  <c r="W36" i="69"/>
  <c r="W44" i="69"/>
  <c r="W52" i="69"/>
  <c r="W60" i="69"/>
  <c r="W68" i="69"/>
  <c r="W76" i="69"/>
  <c r="W84" i="69"/>
  <c r="W92" i="69"/>
  <c r="W100" i="69"/>
  <c r="W29" i="69"/>
  <c r="W53" i="69"/>
  <c r="W77" i="69"/>
  <c r="W101" i="69"/>
  <c r="W31" i="69"/>
  <c r="W22" i="69"/>
  <c r="W30" i="69"/>
  <c r="W38" i="69"/>
  <c r="W46" i="69"/>
  <c r="W54" i="69"/>
  <c r="W62" i="69"/>
  <c r="W70" i="69"/>
  <c r="W78" i="69"/>
  <c r="W86" i="69"/>
  <c r="W94" i="69"/>
  <c r="W102" i="69"/>
  <c r="W91" i="69"/>
  <c r="W59" i="69"/>
  <c r="W37" i="69"/>
  <c r="W61" i="69"/>
  <c r="W85" i="69"/>
  <c r="W21" i="69"/>
  <c r="W45" i="69"/>
  <c r="W69" i="69"/>
  <c r="W93" i="69"/>
  <c r="F31" i="42"/>
  <c r="F32" i="42"/>
  <c r="F33" i="42"/>
  <c r="F34" i="42"/>
  <c r="F35" i="42"/>
  <c r="F36" i="42"/>
  <c r="F37" i="42"/>
  <c r="F38" i="42"/>
  <c r="F39" i="42"/>
  <c r="F40" i="42"/>
  <c r="F41" i="42"/>
  <c r="F42" i="42"/>
  <c r="F43" i="42"/>
  <c r="F44" i="42"/>
  <c r="F45" i="42"/>
  <c r="F46" i="42"/>
  <c r="F47" i="42"/>
  <c r="F48" i="42"/>
  <c r="F49" i="42"/>
  <c r="F50" i="42"/>
  <c r="F51" i="42"/>
  <c r="F52" i="42"/>
  <c r="F53" i="42"/>
  <c r="F54" i="42"/>
  <c r="F55" i="42"/>
  <c r="F56" i="42"/>
  <c r="F57" i="42"/>
  <c r="F58" i="42"/>
  <c r="F59" i="42"/>
  <c r="F60" i="42"/>
  <c r="F61" i="42"/>
  <c r="F62" i="42"/>
  <c r="F63" i="42"/>
  <c r="F64" i="42"/>
  <c r="F65" i="42"/>
  <c r="F66" i="42"/>
  <c r="F67" i="42"/>
  <c r="F68" i="42"/>
  <c r="F69" i="42"/>
  <c r="F70" i="42"/>
  <c r="F71" i="42"/>
  <c r="F72" i="42"/>
  <c r="F73" i="42"/>
  <c r="F74" i="42"/>
  <c r="F75" i="42"/>
  <c r="F76" i="42"/>
  <c r="F77" i="42"/>
  <c r="F78" i="42"/>
  <c r="F79" i="42"/>
  <c r="F80" i="42"/>
  <c r="F81" i="42"/>
  <c r="F82" i="42"/>
  <c r="F83" i="42"/>
  <c r="F84" i="42"/>
  <c r="F85" i="42"/>
  <c r="F86" i="42"/>
  <c r="F87" i="42"/>
  <c r="F88" i="42"/>
  <c r="F89" i="42"/>
  <c r="F90" i="42"/>
  <c r="F91" i="42"/>
  <c r="F92" i="42"/>
  <c r="F93" i="42"/>
  <c r="F94" i="42"/>
  <c r="F95" i="42"/>
  <c r="F96" i="42"/>
  <c r="F97" i="42"/>
  <c r="F98" i="42"/>
  <c r="F99" i="42"/>
  <c r="F100" i="42"/>
  <c r="F101" i="42"/>
  <c r="F102" i="42"/>
  <c r="F103" i="42"/>
  <c r="F104" i="42"/>
  <c r="F105" i="42"/>
  <c r="E31" i="42"/>
  <c r="E32" i="42"/>
  <c r="E33" i="42"/>
  <c r="E34" i="42"/>
  <c r="E35" i="42"/>
  <c r="E36" i="42"/>
  <c r="E37" i="42"/>
  <c r="E38" i="42"/>
  <c r="E39" i="42"/>
  <c r="E40" i="42"/>
  <c r="E41" i="42"/>
  <c r="E42" i="42"/>
  <c r="E43" i="42"/>
  <c r="E44" i="42"/>
  <c r="E45" i="42"/>
  <c r="E46" i="42"/>
  <c r="E47" i="42"/>
  <c r="E48" i="42"/>
  <c r="E49" i="42"/>
  <c r="E50" i="42"/>
  <c r="E51" i="42"/>
  <c r="E52" i="42"/>
  <c r="E53" i="42"/>
  <c r="E54" i="42"/>
  <c r="E55" i="42"/>
  <c r="E56" i="42"/>
  <c r="E57" i="42"/>
  <c r="E58" i="42"/>
  <c r="E59" i="42"/>
  <c r="E60" i="42"/>
  <c r="E61" i="42"/>
  <c r="E62" i="42"/>
  <c r="E63" i="42"/>
  <c r="E64" i="42"/>
  <c r="E65" i="42"/>
  <c r="E66" i="42"/>
  <c r="E67" i="42"/>
  <c r="E68" i="42"/>
  <c r="E69" i="42"/>
  <c r="E70" i="42"/>
  <c r="E71" i="42"/>
  <c r="E72" i="42"/>
  <c r="E73" i="42"/>
  <c r="E74" i="42"/>
  <c r="E75" i="42"/>
  <c r="E76" i="42"/>
  <c r="E77" i="42"/>
  <c r="E78" i="42"/>
  <c r="E79" i="42"/>
  <c r="E80" i="42"/>
  <c r="E81" i="42"/>
  <c r="E82" i="42"/>
  <c r="E83" i="42"/>
  <c r="E84" i="42"/>
  <c r="E85" i="42"/>
  <c r="E86" i="42"/>
  <c r="E87" i="42"/>
  <c r="E88" i="42"/>
  <c r="E89" i="42"/>
  <c r="E90" i="42"/>
  <c r="E91" i="42"/>
  <c r="E92" i="42"/>
  <c r="E93" i="42"/>
  <c r="E94" i="42"/>
  <c r="E95" i="42"/>
  <c r="E96" i="42"/>
  <c r="E97" i="42"/>
  <c r="E98" i="42"/>
  <c r="E99" i="42"/>
  <c r="E100" i="42"/>
  <c r="E101" i="42"/>
  <c r="E102" i="42"/>
  <c r="E103" i="42"/>
  <c r="E104" i="42"/>
  <c r="E105" i="42"/>
  <c r="F11" i="42"/>
  <c r="F12" i="42"/>
  <c r="F13" i="42"/>
  <c r="F14" i="42"/>
  <c r="F15" i="42"/>
  <c r="F16" i="42"/>
  <c r="F17" i="42"/>
  <c r="F18" i="42"/>
  <c r="F19" i="42"/>
  <c r="F20" i="42"/>
  <c r="F21" i="42"/>
  <c r="F22" i="42"/>
  <c r="F23" i="42"/>
  <c r="F24" i="42"/>
  <c r="F25" i="42"/>
  <c r="F26" i="42"/>
  <c r="F27" i="42"/>
  <c r="F28" i="42"/>
  <c r="F29" i="42"/>
  <c r="F30" i="42"/>
  <c r="E11" i="42"/>
  <c r="E12" i="42"/>
  <c r="E13" i="42"/>
  <c r="E14" i="42"/>
  <c r="E15" i="42"/>
  <c r="E16" i="42"/>
  <c r="E17" i="42"/>
  <c r="E18" i="42"/>
  <c r="E19" i="42"/>
  <c r="E20" i="42"/>
  <c r="E21" i="42"/>
  <c r="E22" i="42"/>
  <c r="E23" i="42"/>
  <c r="E24" i="42"/>
  <c r="E25" i="42"/>
  <c r="E26" i="42"/>
  <c r="E27" i="42"/>
  <c r="E28" i="42"/>
  <c r="E29" i="42"/>
  <c r="E30" i="42"/>
  <c r="F109" i="42" l="1"/>
  <c r="F111" i="42"/>
  <c r="E110" i="42"/>
  <c r="E109" i="42"/>
  <c r="F110" i="42"/>
  <c r="E111" i="42"/>
  <c r="F113" i="42"/>
  <c r="F112" i="42"/>
  <c r="E112" i="42"/>
  <c r="E113" i="42"/>
  <c r="W112" i="69"/>
  <c r="W113" i="69"/>
  <c r="W111" i="69"/>
  <c r="W110" i="69"/>
  <c r="W109" i="69"/>
  <c r="N29" i="42"/>
  <c r="N21" i="42"/>
  <c r="N28" i="42"/>
  <c r="N20" i="42"/>
  <c r="O28" i="42"/>
  <c r="O20" i="42"/>
  <c r="N103" i="42"/>
  <c r="N95" i="42"/>
  <c r="N87" i="42"/>
  <c r="N79" i="42"/>
  <c r="N71" i="42"/>
  <c r="N63" i="42"/>
  <c r="N55" i="42"/>
  <c r="N47" i="42"/>
  <c r="N39" i="42"/>
  <c r="O99" i="42"/>
  <c r="O91" i="42"/>
  <c r="O83" i="42"/>
  <c r="O75" i="42"/>
  <c r="O67" i="42"/>
  <c r="O59" i="42"/>
  <c r="O51" i="42"/>
  <c r="O43" i="42"/>
  <c r="O35" i="42"/>
  <c r="N31" i="42"/>
  <c r="N30" i="42"/>
  <c r="N22" i="42"/>
  <c r="O30" i="42"/>
  <c r="O22" i="42"/>
  <c r="N105" i="42"/>
  <c r="N97" i="42"/>
  <c r="N89" i="42"/>
  <c r="N81" i="42"/>
  <c r="N73" i="42"/>
  <c r="N65" i="42"/>
  <c r="N57" i="42"/>
  <c r="N49" i="42"/>
  <c r="N41" i="42"/>
  <c r="O101" i="42"/>
  <c r="O93" i="42"/>
  <c r="O85" i="42"/>
  <c r="O77" i="42"/>
  <c r="O69" i="42"/>
  <c r="O61" i="42"/>
  <c r="O53" i="42"/>
  <c r="O45" i="42"/>
  <c r="O37" i="42"/>
  <c r="O29" i="42"/>
  <c r="O21" i="42"/>
  <c r="N104" i="42"/>
  <c r="N96" i="42"/>
  <c r="N88" i="42"/>
  <c r="N80" i="42"/>
  <c r="N72" i="42"/>
  <c r="N64" i="42"/>
  <c r="N56" i="42"/>
  <c r="N48" i="42"/>
  <c r="N40" i="42"/>
  <c r="O100" i="42"/>
  <c r="O92" i="42"/>
  <c r="O84" i="42"/>
  <c r="O76" i="42"/>
  <c r="O68" i="42"/>
  <c r="O60" i="42"/>
  <c r="O52" i="42"/>
  <c r="O44" i="42"/>
  <c r="O36" i="42"/>
  <c r="N23" i="42"/>
  <c r="N15" i="42"/>
  <c r="O23" i="42"/>
  <c r="O15" i="42"/>
  <c r="N98" i="42"/>
  <c r="N90" i="42"/>
  <c r="N82" i="42"/>
  <c r="N74" i="42"/>
  <c r="N66" i="42"/>
  <c r="N58" i="42"/>
  <c r="N50" i="42"/>
  <c r="N42" i="42"/>
  <c r="O102" i="42"/>
  <c r="O94" i="42"/>
  <c r="O86" i="42"/>
  <c r="O78" i="42"/>
  <c r="O70" i="42"/>
  <c r="O62" i="42"/>
  <c r="O54" i="42"/>
  <c r="O46" i="42"/>
  <c r="O38" i="42"/>
  <c r="N32" i="42"/>
  <c r="N34" i="42"/>
  <c r="N33" i="42"/>
  <c r="N19" i="42"/>
  <c r="O19" i="42"/>
  <c r="N102" i="42"/>
  <c r="N86" i="42"/>
  <c r="N78" i="42"/>
  <c r="N62" i="42"/>
  <c r="N54" i="42"/>
  <c r="N46" i="42"/>
  <c r="N38" i="42"/>
  <c r="O98" i="42"/>
  <c r="O90" i="42"/>
  <c r="O82" i="42"/>
  <c r="O74" i="42"/>
  <c r="O66" i="42"/>
  <c r="O58" i="42"/>
  <c r="O50" i="42"/>
  <c r="O42" i="42"/>
  <c r="O34" i="42"/>
  <c r="N26" i="42"/>
  <c r="O18" i="42"/>
  <c r="N101" i="42"/>
  <c r="N85" i="42"/>
  <c r="N69" i="42"/>
  <c r="N53" i="42"/>
  <c r="N25" i="42"/>
  <c r="N17" i="42"/>
  <c r="O25" i="42"/>
  <c r="O17" i="42"/>
  <c r="N100" i="42"/>
  <c r="N92" i="42"/>
  <c r="N84" i="42"/>
  <c r="N76" i="42"/>
  <c r="N68" i="42"/>
  <c r="N60" i="42"/>
  <c r="N52" i="42"/>
  <c r="N44" i="42"/>
  <c r="N27" i="42"/>
  <c r="O27" i="42"/>
  <c r="N94" i="42"/>
  <c r="N70" i="42"/>
  <c r="N18" i="42"/>
  <c r="O26" i="42"/>
  <c r="N93" i="42"/>
  <c r="N77" i="42"/>
  <c r="N61" i="42"/>
  <c r="N45" i="42"/>
  <c r="N24" i="42"/>
  <c r="N16" i="42"/>
  <c r="O24" i="42"/>
  <c r="O16" i="42"/>
  <c r="N99" i="42"/>
  <c r="N91" i="42"/>
  <c r="N83" i="42"/>
  <c r="N75" i="42"/>
  <c r="N67" i="42"/>
  <c r="N59" i="42"/>
  <c r="N51" i="42"/>
  <c r="N43" i="42"/>
  <c r="N35" i="42"/>
  <c r="O103" i="42"/>
  <c r="O95" i="42"/>
  <c r="O87" i="42"/>
  <c r="O79" i="42"/>
  <c r="O71" i="42"/>
  <c r="O63" i="42"/>
  <c r="O55" i="42"/>
  <c r="O47" i="42"/>
  <c r="O39" i="42"/>
  <c r="O31" i="42"/>
  <c r="N37" i="42"/>
  <c r="O105" i="42"/>
  <c r="O97" i="42"/>
  <c r="O89" i="42"/>
  <c r="O81" i="42"/>
  <c r="O73" i="42"/>
  <c r="O65" i="42"/>
  <c r="O57" i="42"/>
  <c r="O49" i="42"/>
  <c r="O41" i="42"/>
  <c r="O33" i="42"/>
  <c r="N36" i="42"/>
  <c r="O104" i="42"/>
  <c r="O96" i="42"/>
  <c r="O88" i="42"/>
  <c r="O80" i="42"/>
  <c r="O72" i="42"/>
  <c r="O64" i="42"/>
  <c r="O56" i="42"/>
  <c r="O48" i="42"/>
  <c r="O40" i="42"/>
  <c r="O32" i="42"/>
  <c r="O111" i="42" l="1"/>
  <c r="O109" i="42"/>
  <c r="N110" i="42"/>
  <c r="N111" i="42"/>
  <c r="N109" i="42"/>
  <c r="O110" i="42"/>
  <c r="O113" i="42"/>
  <c r="N113" i="42"/>
  <c r="O112" i="42"/>
  <c r="N112" i="42"/>
  <c r="H106" i="69"/>
  <c r="G106" i="69"/>
  <c r="F106" i="69"/>
  <c r="D105" i="42"/>
  <c r="H105" i="69"/>
  <c r="G105" i="69"/>
  <c r="F105" i="69"/>
  <c r="D104" i="42"/>
  <c r="H104" i="69"/>
  <c r="G104" i="69"/>
  <c r="F104" i="69"/>
  <c r="D103" i="42"/>
  <c r="H103" i="69"/>
  <c r="G103" i="69"/>
  <c r="F103" i="69"/>
  <c r="D102" i="42"/>
  <c r="H102" i="69"/>
  <c r="G102" i="69"/>
  <c r="F102" i="69"/>
  <c r="D101" i="42"/>
  <c r="H101" i="69"/>
  <c r="G101" i="69"/>
  <c r="F101" i="69"/>
  <c r="D100" i="42"/>
  <c r="H100" i="69"/>
  <c r="G100" i="69"/>
  <c r="F100" i="69"/>
  <c r="D99" i="42"/>
  <c r="H99" i="69"/>
  <c r="G99" i="69"/>
  <c r="F99" i="69"/>
  <c r="D98" i="42"/>
  <c r="H98" i="69"/>
  <c r="G98" i="69"/>
  <c r="F98" i="69"/>
  <c r="D97" i="42"/>
  <c r="H97" i="69"/>
  <c r="G97" i="69"/>
  <c r="F97" i="69"/>
  <c r="D96" i="42"/>
  <c r="H96" i="69"/>
  <c r="G96" i="69"/>
  <c r="F96" i="69"/>
  <c r="D95" i="42"/>
  <c r="H95" i="69"/>
  <c r="G95" i="69"/>
  <c r="F95" i="69"/>
  <c r="D94" i="42"/>
  <c r="H94" i="69"/>
  <c r="G94" i="69"/>
  <c r="F94" i="69"/>
  <c r="D93" i="42"/>
  <c r="H93" i="69"/>
  <c r="G93" i="69"/>
  <c r="F93" i="69"/>
  <c r="D92" i="42"/>
  <c r="H92" i="69"/>
  <c r="G92" i="69"/>
  <c r="G113" i="69" s="1"/>
  <c r="F92" i="69"/>
  <c r="D91" i="42"/>
  <c r="H91" i="69"/>
  <c r="G91" i="69"/>
  <c r="F91" i="69"/>
  <c r="D90" i="42"/>
  <c r="H90" i="69"/>
  <c r="G90" i="69"/>
  <c r="F90" i="69"/>
  <c r="D89" i="42"/>
  <c r="H89" i="69"/>
  <c r="G89" i="69"/>
  <c r="F89" i="69"/>
  <c r="D88" i="42"/>
  <c r="H88" i="69"/>
  <c r="G88" i="69"/>
  <c r="F88" i="69"/>
  <c r="D87" i="42"/>
  <c r="H87" i="69"/>
  <c r="G87" i="69"/>
  <c r="F87" i="69"/>
  <c r="D86" i="42"/>
  <c r="H86" i="69"/>
  <c r="G86" i="69"/>
  <c r="F86" i="69"/>
  <c r="D85" i="42"/>
  <c r="H85" i="69"/>
  <c r="G85" i="69"/>
  <c r="F85" i="69"/>
  <c r="D84" i="42"/>
  <c r="H84" i="69"/>
  <c r="G84" i="69"/>
  <c r="F84" i="69"/>
  <c r="D83" i="42"/>
  <c r="H83" i="69"/>
  <c r="G83" i="69"/>
  <c r="F83" i="69"/>
  <c r="D82" i="42"/>
  <c r="H82" i="69"/>
  <c r="G82" i="69"/>
  <c r="F82" i="69"/>
  <c r="D81" i="42"/>
  <c r="H81" i="69"/>
  <c r="G81" i="69"/>
  <c r="F81" i="69"/>
  <c r="D80" i="42"/>
  <c r="H80" i="69"/>
  <c r="G80" i="69"/>
  <c r="F80" i="69"/>
  <c r="D79" i="42"/>
  <c r="H79" i="69"/>
  <c r="G79" i="69"/>
  <c r="F79" i="69"/>
  <c r="D78" i="42"/>
  <c r="H78" i="69"/>
  <c r="G78" i="69"/>
  <c r="F78" i="69"/>
  <c r="D77" i="42"/>
  <c r="H77" i="69"/>
  <c r="G77" i="69"/>
  <c r="F77" i="69"/>
  <c r="D76" i="42"/>
  <c r="H76" i="69"/>
  <c r="G76" i="69"/>
  <c r="F76" i="69"/>
  <c r="D75" i="42"/>
  <c r="H75" i="69"/>
  <c r="G75" i="69"/>
  <c r="F75" i="69"/>
  <c r="D74" i="42"/>
  <c r="H74" i="69"/>
  <c r="G74" i="69"/>
  <c r="F74" i="69"/>
  <c r="D73" i="42"/>
  <c r="H73" i="69"/>
  <c r="G73" i="69"/>
  <c r="F73" i="69"/>
  <c r="D72" i="42"/>
  <c r="H72" i="69"/>
  <c r="G72" i="69"/>
  <c r="F72" i="69"/>
  <c r="D71" i="42"/>
  <c r="H71" i="69"/>
  <c r="G71" i="69"/>
  <c r="F71" i="69"/>
  <c r="D70" i="42"/>
  <c r="H70" i="69"/>
  <c r="G70" i="69"/>
  <c r="F70" i="69"/>
  <c r="D69" i="42"/>
  <c r="H69" i="69"/>
  <c r="G69" i="69"/>
  <c r="F69" i="69"/>
  <c r="D68" i="42"/>
  <c r="H68" i="69"/>
  <c r="G68" i="69"/>
  <c r="F68" i="69"/>
  <c r="D67" i="42"/>
  <c r="H67" i="69"/>
  <c r="G67" i="69"/>
  <c r="F67" i="69"/>
  <c r="D66" i="42"/>
  <c r="H66" i="69"/>
  <c r="G66" i="69"/>
  <c r="F66" i="69"/>
  <c r="D65" i="42"/>
  <c r="H65" i="69"/>
  <c r="G65" i="69"/>
  <c r="F65" i="69"/>
  <c r="D64" i="42"/>
  <c r="H64" i="69"/>
  <c r="G64" i="69"/>
  <c r="F64" i="69"/>
  <c r="D63" i="42"/>
  <c r="H63" i="69"/>
  <c r="G63" i="69"/>
  <c r="F63" i="69"/>
  <c r="D62" i="42"/>
  <c r="H62" i="69"/>
  <c r="G62" i="69"/>
  <c r="F62" i="69"/>
  <c r="D61" i="42"/>
  <c r="H61" i="69"/>
  <c r="G61" i="69"/>
  <c r="F61" i="69"/>
  <c r="D60" i="42"/>
  <c r="H60" i="69"/>
  <c r="G60" i="69"/>
  <c r="F60" i="69"/>
  <c r="D59" i="42"/>
  <c r="H59" i="69"/>
  <c r="G59" i="69"/>
  <c r="F59" i="69"/>
  <c r="D58" i="42"/>
  <c r="H58" i="69"/>
  <c r="G58" i="69"/>
  <c r="F58" i="69"/>
  <c r="D57" i="42"/>
  <c r="H57" i="69"/>
  <c r="G57" i="69"/>
  <c r="F57" i="69"/>
  <c r="D56" i="42"/>
  <c r="H56" i="69"/>
  <c r="G56" i="69"/>
  <c r="F56" i="69"/>
  <c r="D55" i="42"/>
  <c r="H55" i="69"/>
  <c r="G55" i="69"/>
  <c r="F55" i="69"/>
  <c r="D54" i="42"/>
  <c r="H54" i="69"/>
  <c r="G54" i="69"/>
  <c r="F54" i="69"/>
  <c r="D53" i="42"/>
  <c r="H53" i="69"/>
  <c r="G53" i="69"/>
  <c r="F53" i="69"/>
  <c r="D52" i="42"/>
  <c r="H52" i="69"/>
  <c r="G52" i="69"/>
  <c r="F52" i="69"/>
  <c r="D51" i="42"/>
  <c r="H51" i="69"/>
  <c r="G51" i="69"/>
  <c r="F51" i="69"/>
  <c r="D50" i="42"/>
  <c r="H50" i="69"/>
  <c r="G50" i="69"/>
  <c r="F50" i="69"/>
  <c r="D49" i="42"/>
  <c r="H49" i="69"/>
  <c r="G49" i="69"/>
  <c r="F49" i="69"/>
  <c r="D48" i="42"/>
  <c r="H48" i="69"/>
  <c r="G48" i="69"/>
  <c r="F48" i="69"/>
  <c r="D47" i="42"/>
  <c r="H47" i="69"/>
  <c r="G47" i="69"/>
  <c r="F47" i="69"/>
  <c r="D46" i="42"/>
  <c r="H46" i="69"/>
  <c r="G46" i="69"/>
  <c r="F46" i="69"/>
  <c r="D45" i="42"/>
  <c r="H45" i="69"/>
  <c r="G45" i="69"/>
  <c r="F45" i="69"/>
  <c r="D44" i="42"/>
  <c r="H44" i="69"/>
  <c r="G44" i="69"/>
  <c r="F44" i="69"/>
  <c r="D43" i="42"/>
  <c r="H43" i="69"/>
  <c r="G43" i="69"/>
  <c r="F43" i="69"/>
  <c r="D42" i="42"/>
  <c r="H42" i="69"/>
  <c r="G42" i="69"/>
  <c r="F42" i="69"/>
  <c r="D41" i="42"/>
  <c r="H41" i="69"/>
  <c r="G41" i="69"/>
  <c r="F41" i="69"/>
  <c r="D40" i="42"/>
  <c r="H40" i="69"/>
  <c r="G40" i="69"/>
  <c r="F40" i="69"/>
  <c r="D39" i="42"/>
  <c r="H39" i="69"/>
  <c r="G39" i="69"/>
  <c r="F39" i="69"/>
  <c r="D38" i="42"/>
  <c r="H38" i="69"/>
  <c r="G38" i="69"/>
  <c r="F38" i="69"/>
  <c r="D37" i="42"/>
  <c r="H37" i="69"/>
  <c r="G37" i="69"/>
  <c r="F37" i="69"/>
  <c r="D36" i="42"/>
  <c r="H36" i="69"/>
  <c r="G36" i="69"/>
  <c r="F36" i="69"/>
  <c r="D35" i="42"/>
  <c r="H35" i="69"/>
  <c r="G35" i="69"/>
  <c r="F35" i="69"/>
  <c r="D34" i="42"/>
  <c r="H34" i="69"/>
  <c r="G34" i="69"/>
  <c r="F34" i="69"/>
  <c r="D33" i="42"/>
  <c r="H33" i="69"/>
  <c r="G33" i="69"/>
  <c r="F33" i="69"/>
  <c r="D32" i="42"/>
  <c r="H32" i="69"/>
  <c r="G32" i="69"/>
  <c r="G110" i="69" s="1"/>
  <c r="F32" i="69"/>
  <c r="F110" i="69" s="1"/>
  <c r="D31" i="42"/>
  <c r="H31" i="69"/>
  <c r="G31" i="69"/>
  <c r="F31" i="69"/>
  <c r="D30" i="42"/>
  <c r="H30" i="69"/>
  <c r="G30" i="69"/>
  <c r="F30" i="69"/>
  <c r="F31" i="40"/>
  <c r="D29" i="42"/>
  <c r="H29" i="69"/>
  <c r="G29" i="69"/>
  <c r="F29" i="69"/>
  <c r="D28" i="42"/>
  <c r="H28" i="69"/>
  <c r="G28" i="69"/>
  <c r="F28" i="69"/>
  <c r="H29" i="40"/>
  <c r="D27" i="42"/>
  <c r="H27" i="69"/>
  <c r="G27" i="69"/>
  <c r="F27" i="69"/>
  <c r="H28" i="40"/>
  <c r="D26" i="42"/>
  <c r="H26" i="69"/>
  <c r="G26" i="69"/>
  <c r="F26" i="69"/>
  <c r="H27" i="40"/>
  <c r="D25" i="42"/>
  <c r="H25" i="69"/>
  <c r="G25" i="69"/>
  <c r="F25" i="69"/>
  <c r="H26" i="40"/>
  <c r="D24" i="42"/>
  <c r="H24" i="69"/>
  <c r="G24" i="69"/>
  <c r="F24" i="69"/>
  <c r="H25" i="40"/>
  <c r="D23" i="42"/>
  <c r="H23" i="69"/>
  <c r="G23" i="69"/>
  <c r="F23" i="69"/>
  <c r="H24" i="40"/>
  <c r="F24" i="40"/>
  <c r="D22" i="42"/>
  <c r="H22" i="69"/>
  <c r="G22" i="69"/>
  <c r="F22" i="69"/>
  <c r="H23" i="40"/>
  <c r="D21" i="42"/>
  <c r="H21" i="69"/>
  <c r="G21" i="69"/>
  <c r="F21" i="69"/>
  <c r="H22" i="40"/>
  <c r="D20" i="42"/>
  <c r="H20" i="69"/>
  <c r="G20" i="69"/>
  <c r="F20" i="69"/>
  <c r="H21" i="40"/>
  <c r="D19" i="42"/>
  <c r="H19" i="69"/>
  <c r="G19" i="69"/>
  <c r="F19" i="69"/>
  <c r="H20" i="40"/>
  <c r="D18" i="42"/>
  <c r="H18" i="69"/>
  <c r="G18" i="69"/>
  <c r="F18" i="69"/>
  <c r="H19" i="40"/>
  <c r="D17" i="42"/>
  <c r="H17" i="69"/>
  <c r="G17" i="69"/>
  <c r="F17" i="69"/>
  <c r="H18" i="40"/>
  <c r="D16" i="42"/>
  <c r="H16" i="69"/>
  <c r="G16" i="69"/>
  <c r="F16" i="69"/>
  <c r="H17" i="40"/>
  <c r="D15" i="42"/>
  <c r="H15" i="69"/>
  <c r="G15" i="69"/>
  <c r="F15" i="69"/>
  <c r="H16" i="40"/>
  <c r="D14" i="42"/>
  <c r="H14" i="69"/>
  <c r="G14" i="69"/>
  <c r="F14" i="69"/>
  <c r="H15" i="40"/>
  <c r="D13" i="42"/>
  <c r="H13" i="69"/>
  <c r="G13" i="69"/>
  <c r="F13" i="69"/>
  <c r="H14" i="40"/>
  <c r="D12" i="42"/>
  <c r="E14" i="40"/>
  <c r="H12" i="69"/>
  <c r="G12" i="69"/>
  <c r="F12" i="69"/>
  <c r="H13" i="40"/>
  <c r="D11" i="42"/>
  <c r="H110" i="69" l="1"/>
  <c r="H109" i="69"/>
  <c r="H113" i="69"/>
  <c r="F113" i="69"/>
  <c r="D111" i="42"/>
  <c r="D109" i="42"/>
  <c r="D113" i="42"/>
  <c r="D110" i="42"/>
  <c r="D112" i="42"/>
  <c r="F112" i="69"/>
  <c r="G112" i="69"/>
  <c r="H112" i="69"/>
  <c r="F111" i="69"/>
  <c r="F109" i="69"/>
  <c r="G111" i="69"/>
  <c r="G109" i="69"/>
  <c r="H111" i="69"/>
  <c r="V16" i="69"/>
  <c r="V25" i="69"/>
  <c r="V32" i="69"/>
  <c r="V19" i="69"/>
  <c r="V27" i="69"/>
  <c r="V22" i="69"/>
  <c r="V30" i="69"/>
  <c r="V21" i="69"/>
  <c r="V24" i="69"/>
  <c r="V29" i="69"/>
  <c r="V18" i="69"/>
  <c r="V31" i="69"/>
  <c r="V33" i="69"/>
  <c r="V35" i="69"/>
  <c r="V37" i="69"/>
  <c r="V39" i="69"/>
  <c r="V41" i="69"/>
  <c r="V43" i="69"/>
  <c r="V45" i="69"/>
  <c r="V47" i="69"/>
  <c r="V49" i="69"/>
  <c r="V51" i="69"/>
  <c r="V53" i="69"/>
  <c r="V55" i="69"/>
  <c r="V57" i="69"/>
  <c r="V59" i="69"/>
  <c r="V61" i="69"/>
  <c r="V63" i="69"/>
  <c r="V65" i="69"/>
  <c r="V67" i="69"/>
  <c r="V69" i="69"/>
  <c r="V71" i="69"/>
  <c r="V73" i="69"/>
  <c r="V75" i="69"/>
  <c r="V77" i="69"/>
  <c r="V79" i="69"/>
  <c r="V81" i="69"/>
  <c r="V83" i="69"/>
  <c r="V85" i="69"/>
  <c r="V87" i="69"/>
  <c r="V89" i="69"/>
  <c r="V91" i="69"/>
  <c r="V93" i="69"/>
  <c r="V95" i="69"/>
  <c r="V97" i="69"/>
  <c r="V99" i="69"/>
  <c r="V101" i="69"/>
  <c r="V103" i="69"/>
  <c r="V105" i="69"/>
  <c r="V26" i="69"/>
  <c r="V20" i="69"/>
  <c r="V23" i="69"/>
  <c r="V17" i="69"/>
  <c r="V28" i="69"/>
  <c r="V34" i="69"/>
  <c r="V36" i="69"/>
  <c r="V38" i="69"/>
  <c r="V40" i="69"/>
  <c r="V42" i="69"/>
  <c r="V44" i="69"/>
  <c r="V46" i="69"/>
  <c r="V48" i="69"/>
  <c r="V50" i="69"/>
  <c r="V52" i="69"/>
  <c r="V54" i="69"/>
  <c r="V56" i="69"/>
  <c r="V58" i="69"/>
  <c r="V60" i="69"/>
  <c r="V62" i="69"/>
  <c r="V64" i="69"/>
  <c r="V66" i="69"/>
  <c r="V68" i="69"/>
  <c r="V70" i="69"/>
  <c r="V72" i="69"/>
  <c r="V74" i="69"/>
  <c r="V76" i="69"/>
  <c r="V78" i="69"/>
  <c r="V80" i="69"/>
  <c r="V82" i="69"/>
  <c r="V84" i="69"/>
  <c r="V86" i="69"/>
  <c r="V88" i="69"/>
  <c r="V90" i="69"/>
  <c r="V92" i="69"/>
  <c r="V94" i="69"/>
  <c r="V96" i="69"/>
  <c r="V98" i="69"/>
  <c r="V100" i="69"/>
  <c r="V102" i="69"/>
  <c r="V104" i="69"/>
  <c r="V106" i="69"/>
  <c r="T16" i="69"/>
  <c r="E18" i="40"/>
  <c r="T17" i="69"/>
  <c r="T18" i="69"/>
  <c r="T19" i="69"/>
  <c r="E22" i="40"/>
  <c r="T21" i="69"/>
  <c r="T24" i="69"/>
  <c r="E27" i="40"/>
  <c r="E29" i="40"/>
  <c r="T28" i="69"/>
  <c r="T29" i="69"/>
  <c r="T30" i="69"/>
  <c r="T31" i="69"/>
  <c r="T32" i="69"/>
  <c r="E34" i="40"/>
  <c r="E35" i="40"/>
  <c r="T34" i="69"/>
  <c r="T35" i="69"/>
  <c r="E37" i="40"/>
  <c r="T36" i="69"/>
  <c r="E38" i="40"/>
  <c r="T37" i="69"/>
  <c r="T38" i="69"/>
  <c r="T39" i="69"/>
  <c r="T40" i="69"/>
  <c r="E44" i="40"/>
  <c r="T43" i="69"/>
  <c r="T44" i="69"/>
  <c r="T45" i="69"/>
  <c r="T47" i="69"/>
  <c r="E49" i="40"/>
  <c r="T48" i="69"/>
  <c r="T49" i="69"/>
  <c r="T50" i="69"/>
  <c r="T51" i="69"/>
  <c r="T52" i="69"/>
  <c r="T53" i="69"/>
  <c r="E55" i="40"/>
  <c r="T54" i="69"/>
  <c r="E56" i="40"/>
  <c r="T55" i="69"/>
  <c r="E57" i="40"/>
  <c r="T57" i="69"/>
  <c r="T59" i="69"/>
  <c r="T61" i="69"/>
  <c r="E63" i="40"/>
  <c r="T64" i="69"/>
  <c r="E66" i="40"/>
  <c r="T65" i="69"/>
  <c r="E67" i="40"/>
  <c r="T66" i="69"/>
  <c r="E69" i="40"/>
  <c r="E71" i="40"/>
  <c r="E73" i="40"/>
  <c r="T72" i="69"/>
  <c r="E75" i="40"/>
  <c r="T75" i="69"/>
  <c r="E77" i="40"/>
  <c r="E78" i="40"/>
  <c r="T77" i="69"/>
  <c r="E79" i="40"/>
  <c r="T79" i="69"/>
  <c r="T80" i="69"/>
  <c r="E82" i="40"/>
  <c r="T81" i="69"/>
  <c r="E83" i="40"/>
  <c r="T83" i="69"/>
  <c r="E85" i="40"/>
  <c r="T84" i="69"/>
  <c r="E86" i="40"/>
  <c r="T85" i="69"/>
  <c r="E88" i="40"/>
  <c r="T87" i="69"/>
  <c r="E89" i="40"/>
  <c r="T89" i="69"/>
  <c r="T90" i="69"/>
  <c r="E92" i="40"/>
  <c r="E93" i="40"/>
  <c r="E94" i="40"/>
  <c r="T93" i="69"/>
  <c r="E95" i="40"/>
  <c r="T95" i="69"/>
  <c r="T96" i="69"/>
  <c r="T97" i="69"/>
  <c r="T98" i="69"/>
  <c r="T99" i="69"/>
  <c r="E101" i="40"/>
  <c r="T101" i="69"/>
  <c r="E103" i="40"/>
  <c r="T102" i="69"/>
  <c r="T103" i="69"/>
  <c r="E105" i="40"/>
  <c r="E106" i="40"/>
  <c r="T106" i="69"/>
  <c r="E15" i="40"/>
  <c r="E16" i="40"/>
  <c r="E17" i="40"/>
  <c r="E19" i="40"/>
  <c r="E20" i="40"/>
  <c r="E21" i="40"/>
  <c r="T20" i="69"/>
  <c r="E23" i="40"/>
  <c r="T22" i="69"/>
  <c r="E24" i="40"/>
  <c r="T23" i="69"/>
  <c r="E25" i="40"/>
  <c r="E26" i="40"/>
  <c r="T25" i="69"/>
  <c r="T26" i="69"/>
  <c r="E28" i="40"/>
  <c r="T27" i="69"/>
  <c r="E30" i="40"/>
  <c r="E31" i="40"/>
  <c r="E32" i="40"/>
  <c r="E33" i="40"/>
  <c r="T33" i="69"/>
  <c r="E36" i="40"/>
  <c r="E39" i="40"/>
  <c r="E40" i="40"/>
  <c r="E41" i="40"/>
  <c r="E42" i="40"/>
  <c r="T41" i="69"/>
  <c r="E43" i="40"/>
  <c r="T42" i="69"/>
  <c r="E45" i="40"/>
  <c r="E46" i="40"/>
  <c r="E47" i="40"/>
  <c r="T46" i="69"/>
  <c r="E48" i="40"/>
  <c r="E50" i="40"/>
  <c r="E51" i="40"/>
  <c r="E52" i="40"/>
  <c r="E53" i="40"/>
  <c r="E54" i="40"/>
  <c r="T56" i="69"/>
  <c r="E58" i="40"/>
  <c r="E59" i="40"/>
  <c r="T58" i="69"/>
  <c r="E60" i="40"/>
  <c r="E61" i="40"/>
  <c r="T60" i="69"/>
  <c r="E62" i="40"/>
  <c r="T62" i="69"/>
  <c r="E64" i="40"/>
  <c r="T63" i="69"/>
  <c r="E65" i="40"/>
  <c r="E68" i="40"/>
  <c r="T67" i="69"/>
  <c r="T68" i="69"/>
  <c r="E70" i="40"/>
  <c r="T69" i="69"/>
  <c r="T70" i="69"/>
  <c r="E72" i="40"/>
  <c r="T71" i="69"/>
  <c r="E74" i="40"/>
  <c r="T73" i="69"/>
  <c r="T74" i="69"/>
  <c r="E76" i="40"/>
  <c r="T76" i="69"/>
  <c r="T78" i="69"/>
  <c r="E80" i="40"/>
  <c r="E81" i="40"/>
  <c r="T82" i="69"/>
  <c r="E84" i="40"/>
  <c r="E87" i="40"/>
  <c r="T86" i="69"/>
  <c r="T88" i="69"/>
  <c r="E90" i="40"/>
  <c r="E91" i="40"/>
  <c r="T91" i="69"/>
  <c r="T92" i="69"/>
  <c r="T94" i="69"/>
  <c r="E96" i="40"/>
  <c r="E97" i="40"/>
  <c r="E98" i="40"/>
  <c r="E99" i="40"/>
  <c r="E100" i="40"/>
  <c r="T100" i="69"/>
  <c r="E102" i="40"/>
  <c r="E104" i="40"/>
  <c r="T104" i="69"/>
  <c r="T105" i="69"/>
  <c r="E107" i="40"/>
  <c r="E14" i="69"/>
  <c r="E18" i="69"/>
  <c r="U21" i="69"/>
  <c r="E28" i="69"/>
  <c r="U31" i="69"/>
  <c r="E34" i="69"/>
  <c r="U47" i="69"/>
  <c r="E54" i="69"/>
  <c r="U65" i="69"/>
  <c r="E68" i="69"/>
  <c r="U71" i="69"/>
  <c r="E72" i="69"/>
  <c r="U75" i="69"/>
  <c r="E76" i="69"/>
  <c r="E82" i="69"/>
  <c r="U87" i="69"/>
  <c r="U95" i="69"/>
  <c r="E98" i="69"/>
  <c r="U103" i="69"/>
  <c r="E12" i="69"/>
  <c r="E16" i="69"/>
  <c r="E22" i="69"/>
  <c r="U23" i="69"/>
  <c r="U25" i="69"/>
  <c r="E38" i="69"/>
  <c r="U41" i="69"/>
  <c r="U43" i="69"/>
  <c r="E46" i="69"/>
  <c r="E48" i="69"/>
  <c r="U53" i="69"/>
  <c r="U57" i="69"/>
  <c r="E58" i="69"/>
  <c r="U61" i="69"/>
  <c r="E66" i="69"/>
  <c r="U77" i="69"/>
  <c r="U79" i="69"/>
  <c r="U81" i="69"/>
  <c r="U83" i="69"/>
  <c r="E90" i="69"/>
  <c r="U97" i="69"/>
  <c r="U99" i="69"/>
  <c r="E100" i="69"/>
  <c r="U105" i="69"/>
  <c r="U17" i="69"/>
  <c r="E20" i="69"/>
  <c r="E24" i="69"/>
  <c r="E26" i="69"/>
  <c r="U29" i="69"/>
  <c r="E30" i="69"/>
  <c r="E32" i="69"/>
  <c r="U35" i="69"/>
  <c r="U37" i="69"/>
  <c r="U39" i="69"/>
  <c r="E40" i="69"/>
  <c r="E44" i="69"/>
  <c r="U49" i="69"/>
  <c r="U55" i="69"/>
  <c r="U59" i="69"/>
  <c r="U63" i="69"/>
  <c r="U67" i="69"/>
  <c r="E78" i="69"/>
  <c r="E80" i="69"/>
  <c r="U85" i="69"/>
  <c r="U89" i="69"/>
  <c r="U91" i="69"/>
  <c r="E102" i="69"/>
  <c r="E104" i="69"/>
  <c r="U19" i="69"/>
  <c r="U27" i="69"/>
  <c r="U33" i="69"/>
  <c r="E36" i="69"/>
  <c r="E42" i="69"/>
  <c r="U45" i="69"/>
  <c r="E50" i="69"/>
  <c r="U51" i="69"/>
  <c r="E52" i="69"/>
  <c r="E56" i="69"/>
  <c r="E60" i="69"/>
  <c r="E62" i="69"/>
  <c r="E64" i="69"/>
  <c r="U69" i="69"/>
  <c r="E70" i="69"/>
  <c r="U73" i="69"/>
  <c r="E74" i="69"/>
  <c r="E84" i="69"/>
  <c r="E86" i="69"/>
  <c r="E88" i="69"/>
  <c r="E92" i="69"/>
  <c r="U93" i="69"/>
  <c r="E94" i="69"/>
  <c r="E96" i="69"/>
  <c r="U101" i="69"/>
  <c r="E106" i="69"/>
  <c r="E13" i="69"/>
  <c r="E15" i="69"/>
  <c r="U16" i="69"/>
  <c r="E17" i="69"/>
  <c r="U18" i="69"/>
  <c r="E19" i="69"/>
  <c r="U20" i="69"/>
  <c r="E21" i="69"/>
  <c r="U22" i="69"/>
  <c r="E23" i="69"/>
  <c r="U24" i="69"/>
  <c r="E25" i="69"/>
  <c r="U26" i="69"/>
  <c r="E27" i="69"/>
  <c r="U28" i="69"/>
  <c r="E29" i="69"/>
  <c r="U30" i="69"/>
  <c r="E31" i="69"/>
  <c r="U32" i="69"/>
  <c r="E33" i="69"/>
  <c r="U34" i="69"/>
  <c r="E35" i="69"/>
  <c r="U36" i="69"/>
  <c r="E37" i="69"/>
  <c r="U38" i="69"/>
  <c r="E39" i="69"/>
  <c r="U40" i="69"/>
  <c r="E41" i="69"/>
  <c r="U42" i="69"/>
  <c r="E43" i="69"/>
  <c r="U44" i="69"/>
  <c r="E45" i="69"/>
  <c r="U46" i="69"/>
  <c r="E47" i="69"/>
  <c r="U48" i="69"/>
  <c r="E49" i="69"/>
  <c r="U50" i="69"/>
  <c r="E51" i="69"/>
  <c r="U52" i="69"/>
  <c r="E53" i="69"/>
  <c r="U54" i="69"/>
  <c r="E55" i="69"/>
  <c r="U56" i="69"/>
  <c r="E57" i="69"/>
  <c r="U58" i="69"/>
  <c r="E59" i="69"/>
  <c r="U60" i="69"/>
  <c r="E61" i="69"/>
  <c r="U62" i="69"/>
  <c r="E63" i="69"/>
  <c r="U64" i="69"/>
  <c r="E65" i="69"/>
  <c r="U66" i="69"/>
  <c r="E67" i="69"/>
  <c r="U68" i="69"/>
  <c r="E69" i="69"/>
  <c r="U70" i="69"/>
  <c r="E71" i="69"/>
  <c r="U72" i="69"/>
  <c r="E73" i="69"/>
  <c r="U74" i="69"/>
  <c r="E75" i="69"/>
  <c r="U76" i="69"/>
  <c r="E77" i="69"/>
  <c r="U78" i="69"/>
  <c r="E79" i="69"/>
  <c r="U80" i="69"/>
  <c r="E81" i="69"/>
  <c r="U82" i="69"/>
  <c r="E83" i="69"/>
  <c r="U84" i="69"/>
  <c r="E85" i="69"/>
  <c r="U86" i="69"/>
  <c r="E87" i="69"/>
  <c r="U88" i="69"/>
  <c r="E89" i="69"/>
  <c r="U90" i="69"/>
  <c r="E91" i="69"/>
  <c r="U92" i="69"/>
  <c r="E93" i="69"/>
  <c r="U94" i="69"/>
  <c r="E95" i="69"/>
  <c r="U96" i="69"/>
  <c r="E97" i="69"/>
  <c r="U98" i="69"/>
  <c r="E99" i="69"/>
  <c r="U100" i="69"/>
  <c r="E101" i="69"/>
  <c r="U102" i="69"/>
  <c r="E103" i="69"/>
  <c r="U104" i="69"/>
  <c r="E105" i="69"/>
  <c r="U106" i="69"/>
  <c r="M16" i="42"/>
  <c r="M24" i="42"/>
  <c r="M26" i="42"/>
  <c r="M46" i="42"/>
  <c r="M52" i="42"/>
  <c r="M56" i="42"/>
  <c r="M64" i="42"/>
  <c r="M68" i="42"/>
  <c r="M70" i="42"/>
  <c r="M82" i="42"/>
  <c r="M86" i="42"/>
  <c r="M92" i="42"/>
  <c r="M96" i="42"/>
  <c r="M15" i="42"/>
  <c r="M17" i="42"/>
  <c r="M19" i="42"/>
  <c r="M21" i="42"/>
  <c r="M23" i="42"/>
  <c r="M25" i="42"/>
  <c r="M27" i="42"/>
  <c r="M29" i="42"/>
  <c r="M31" i="42"/>
  <c r="M33" i="42"/>
  <c r="M35" i="42"/>
  <c r="M37" i="42"/>
  <c r="M39" i="42"/>
  <c r="M41" i="42"/>
  <c r="M43" i="42"/>
  <c r="M45" i="42"/>
  <c r="M47" i="42"/>
  <c r="M49" i="42"/>
  <c r="M51" i="42"/>
  <c r="M53" i="42"/>
  <c r="M55" i="42"/>
  <c r="M57" i="42"/>
  <c r="M59" i="42"/>
  <c r="M61" i="42"/>
  <c r="M63" i="42"/>
  <c r="M65" i="42"/>
  <c r="M67" i="42"/>
  <c r="M69" i="42"/>
  <c r="M71" i="42"/>
  <c r="M73" i="42"/>
  <c r="M75" i="42"/>
  <c r="M77" i="42"/>
  <c r="M79" i="42"/>
  <c r="M81" i="42"/>
  <c r="M83" i="42"/>
  <c r="M85" i="42"/>
  <c r="M87" i="42"/>
  <c r="M89" i="42"/>
  <c r="M91" i="42"/>
  <c r="M93" i="42"/>
  <c r="M95" i="42"/>
  <c r="M97" i="42"/>
  <c r="M99" i="42"/>
  <c r="M101" i="42"/>
  <c r="M103" i="42"/>
  <c r="M105" i="42"/>
  <c r="M18" i="42"/>
  <c r="M22" i="42"/>
  <c r="M32" i="42"/>
  <c r="M38" i="42"/>
  <c r="M42" i="42"/>
  <c r="M58" i="42"/>
  <c r="M62" i="42"/>
  <c r="M66" i="42"/>
  <c r="M72" i="42"/>
  <c r="M88" i="42"/>
  <c r="M90" i="42"/>
  <c r="M100" i="42"/>
  <c r="M20" i="42"/>
  <c r="M28" i="42"/>
  <c r="M36" i="42"/>
  <c r="M40" i="42"/>
  <c r="M44" i="42"/>
  <c r="M48" i="42"/>
  <c r="M76" i="42"/>
  <c r="M78" i="42"/>
  <c r="M80" i="42"/>
  <c r="M104" i="42"/>
  <c r="M30" i="42"/>
  <c r="M34" i="42"/>
  <c r="M50" i="42"/>
  <c r="M54" i="42"/>
  <c r="M60" i="42"/>
  <c r="M74" i="42"/>
  <c r="M84" i="42"/>
  <c r="M94" i="42"/>
  <c r="M98" i="42"/>
  <c r="M102" i="42"/>
  <c r="G23" i="40"/>
  <c r="G25" i="40"/>
  <c r="G27" i="40"/>
  <c r="G29" i="40"/>
  <c r="H30" i="40"/>
  <c r="H32" i="40"/>
  <c r="H34" i="40"/>
  <c r="G35" i="40"/>
  <c r="G37" i="40"/>
  <c r="H42" i="40"/>
  <c r="G43" i="40"/>
  <c r="G51" i="40"/>
  <c r="G55" i="40"/>
  <c r="H56" i="40"/>
  <c r="G57" i="40"/>
  <c r="H58" i="40"/>
  <c r="G59" i="40"/>
  <c r="G61" i="40"/>
  <c r="H62" i="40"/>
  <c r="H64" i="40"/>
  <c r="H66" i="40"/>
  <c r="G67" i="40"/>
  <c r="G73" i="40"/>
  <c r="H82" i="40"/>
  <c r="G83" i="40"/>
  <c r="G85" i="40"/>
  <c r="H86" i="40"/>
  <c r="H88" i="40"/>
  <c r="G89" i="40"/>
  <c r="H94" i="40"/>
  <c r="G95" i="40"/>
  <c r="H98" i="40"/>
  <c r="G99" i="40"/>
  <c r="G101" i="40"/>
  <c r="H102" i="40"/>
  <c r="G105" i="40"/>
  <c r="G107" i="40"/>
  <c r="F21" i="40"/>
  <c r="Y18" i="5"/>
  <c r="I22" i="40" s="1"/>
  <c r="F25" i="40"/>
  <c r="F27" i="40"/>
  <c r="Y26" i="5"/>
  <c r="Y28" i="5"/>
  <c r="F35" i="40"/>
  <c r="F39" i="40"/>
  <c r="F45" i="40"/>
  <c r="F51" i="40"/>
  <c r="F53" i="40"/>
  <c r="F57" i="40"/>
  <c r="F59" i="40"/>
  <c r="F73" i="40"/>
  <c r="F81" i="40"/>
  <c r="F83" i="40"/>
  <c r="F85" i="40"/>
  <c r="F91" i="40"/>
  <c r="F93" i="40"/>
  <c r="F97" i="40"/>
  <c r="F105" i="40"/>
  <c r="F107" i="40"/>
  <c r="G14" i="40"/>
  <c r="G16" i="40"/>
  <c r="G18" i="40"/>
  <c r="G20" i="40"/>
  <c r="G22" i="40"/>
  <c r="G24" i="40"/>
  <c r="G26" i="40"/>
  <c r="G28" i="40"/>
  <c r="G30" i="40"/>
  <c r="H31" i="40"/>
  <c r="G32" i="40"/>
  <c r="H33" i="40"/>
  <c r="G34" i="40"/>
  <c r="H35" i="40"/>
  <c r="G36" i="40"/>
  <c r="H37" i="40"/>
  <c r="G38" i="40"/>
  <c r="H39" i="40"/>
  <c r="G40" i="40"/>
  <c r="H41" i="40"/>
  <c r="G42" i="40"/>
  <c r="H43" i="40"/>
  <c r="G44" i="40"/>
  <c r="H45" i="40"/>
  <c r="G46" i="40"/>
  <c r="H47" i="40"/>
  <c r="G48" i="40"/>
  <c r="H49" i="40"/>
  <c r="G50" i="40"/>
  <c r="H51" i="40"/>
  <c r="G52" i="40"/>
  <c r="H53" i="40"/>
  <c r="G54" i="40"/>
  <c r="H55" i="40"/>
  <c r="G56" i="40"/>
  <c r="H57" i="40"/>
  <c r="G58" i="40"/>
  <c r="H59" i="40"/>
  <c r="G60" i="40"/>
  <c r="H61" i="40"/>
  <c r="G62" i="40"/>
  <c r="H63" i="40"/>
  <c r="G64" i="40"/>
  <c r="H65" i="40"/>
  <c r="G66" i="40"/>
  <c r="H67" i="40"/>
  <c r="G68" i="40"/>
  <c r="H69" i="40"/>
  <c r="G70" i="40"/>
  <c r="H71" i="40"/>
  <c r="G72" i="40"/>
  <c r="H73" i="40"/>
  <c r="G74" i="40"/>
  <c r="H75" i="40"/>
  <c r="G76" i="40"/>
  <c r="H77" i="40"/>
  <c r="G78" i="40"/>
  <c r="H79" i="40"/>
  <c r="G80" i="40"/>
  <c r="H81" i="40"/>
  <c r="G82" i="40"/>
  <c r="H83" i="40"/>
  <c r="G84" i="40"/>
  <c r="H85" i="40"/>
  <c r="G86" i="40"/>
  <c r="H87" i="40"/>
  <c r="G88" i="40"/>
  <c r="H89" i="40"/>
  <c r="G90" i="40"/>
  <c r="H91" i="40"/>
  <c r="G92" i="40"/>
  <c r="H93" i="40"/>
  <c r="G94" i="40"/>
  <c r="H95" i="40"/>
  <c r="G96" i="40"/>
  <c r="H97" i="40"/>
  <c r="G98" i="40"/>
  <c r="H99" i="40"/>
  <c r="G100" i="40"/>
  <c r="H101" i="40"/>
  <c r="G102" i="40"/>
  <c r="H103" i="40"/>
  <c r="G104" i="40"/>
  <c r="H105" i="40"/>
  <c r="G106" i="40"/>
  <c r="H107" i="40"/>
  <c r="G13" i="40"/>
  <c r="G19" i="40"/>
  <c r="G31" i="40"/>
  <c r="G33" i="40"/>
  <c r="H36" i="40"/>
  <c r="H38" i="40"/>
  <c r="G39" i="40"/>
  <c r="G45" i="40"/>
  <c r="H46" i="40"/>
  <c r="H48" i="40"/>
  <c r="H52" i="40"/>
  <c r="G65" i="40"/>
  <c r="G69" i="40"/>
  <c r="H70" i="40"/>
  <c r="G71" i="40"/>
  <c r="H74" i="40"/>
  <c r="G77" i="40"/>
  <c r="H78" i="40"/>
  <c r="G81" i="40"/>
  <c r="H84" i="40"/>
  <c r="H90" i="40"/>
  <c r="G91" i="40"/>
  <c r="H92" i="40"/>
  <c r="G93" i="40"/>
  <c r="H96" i="40"/>
  <c r="H104" i="40"/>
  <c r="F13" i="40"/>
  <c r="F15" i="40"/>
  <c r="F17" i="40"/>
  <c r="Y14" i="5"/>
  <c r="I18" i="40" s="1"/>
  <c r="F19" i="40"/>
  <c r="F23" i="40"/>
  <c r="Y22" i="5"/>
  <c r="I26" i="40" s="1"/>
  <c r="F29" i="40"/>
  <c r="F33" i="40"/>
  <c r="F37" i="40"/>
  <c r="F41" i="40"/>
  <c r="F43" i="40"/>
  <c r="F49" i="40"/>
  <c r="F55" i="40"/>
  <c r="F63" i="40"/>
  <c r="F65" i="40"/>
  <c r="F67" i="40"/>
  <c r="F79" i="40"/>
  <c r="F87" i="40"/>
  <c r="F99" i="40"/>
  <c r="F101" i="40"/>
  <c r="F103" i="40"/>
  <c r="F14" i="40"/>
  <c r="F16" i="40"/>
  <c r="Y13" i="5"/>
  <c r="I17" i="40" s="1"/>
  <c r="F18" i="40"/>
  <c r="Y15" i="5"/>
  <c r="I19" i="40" s="1"/>
  <c r="F20" i="40"/>
  <c r="Y17" i="5"/>
  <c r="F22" i="40"/>
  <c r="Y19" i="5"/>
  <c r="I23" i="40" s="1"/>
  <c r="Y21" i="5"/>
  <c r="I25" i="40" s="1"/>
  <c r="F26" i="40"/>
  <c r="Y23" i="5"/>
  <c r="I27" i="40" s="1"/>
  <c r="F28" i="40"/>
  <c r="Y25" i="5"/>
  <c r="F30" i="40"/>
  <c r="Y27" i="5"/>
  <c r="F32" i="40"/>
  <c r="F34" i="40"/>
  <c r="F36" i="40"/>
  <c r="F38" i="40"/>
  <c r="F40" i="40"/>
  <c r="F42" i="40"/>
  <c r="F44" i="40"/>
  <c r="F46" i="40"/>
  <c r="F48" i="40"/>
  <c r="F50" i="40"/>
  <c r="F52" i="40"/>
  <c r="F54" i="40"/>
  <c r="F56" i="40"/>
  <c r="F58" i="40"/>
  <c r="F60" i="40"/>
  <c r="F62" i="40"/>
  <c r="F64" i="40"/>
  <c r="F66" i="40"/>
  <c r="F68" i="40"/>
  <c r="F70" i="40"/>
  <c r="F72" i="40"/>
  <c r="F74" i="40"/>
  <c r="F76" i="40"/>
  <c r="F78" i="40"/>
  <c r="F80" i="40"/>
  <c r="F82" i="40"/>
  <c r="F84" i="40"/>
  <c r="F86" i="40"/>
  <c r="F88" i="40"/>
  <c r="F90" i="40"/>
  <c r="F92" i="40"/>
  <c r="F94" i="40"/>
  <c r="I95" i="40"/>
  <c r="F96" i="40"/>
  <c r="F98" i="40"/>
  <c r="F100" i="40"/>
  <c r="F102" i="40"/>
  <c r="F104" i="40"/>
  <c r="F106" i="40"/>
  <c r="G15" i="40"/>
  <c r="G17" i="40"/>
  <c r="G21" i="40"/>
  <c r="H40" i="40"/>
  <c r="G41" i="40"/>
  <c r="H44" i="40"/>
  <c r="G47" i="40"/>
  <c r="G49" i="40"/>
  <c r="H50" i="40"/>
  <c r="G53" i="40"/>
  <c r="H54" i="40"/>
  <c r="H60" i="40"/>
  <c r="G63" i="40"/>
  <c r="H68" i="40"/>
  <c r="H72" i="40"/>
  <c r="G75" i="40"/>
  <c r="H76" i="40"/>
  <c r="G79" i="40"/>
  <c r="H80" i="40"/>
  <c r="G87" i="40"/>
  <c r="G97" i="40"/>
  <c r="H100" i="40"/>
  <c r="G103" i="40"/>
  <c r="H106" i="40"/>
  <c r="Y16" i="5"/>
  <c r="I20" i="40" s="1"/>
  <c r="Y20" i="5"/>
  <c r="I24" i="40" s="1"/>
  <c r="Y24" i="5"/>
  <c r="I28" i="40" s="1"/>
  <c r="F47" i="40"/>
  <c r="F61" i="40"/>
  <c r="F69" i="40"/>
  <c r="F71" i="40"/>
  <c r="F75" i="40"/>
  <c r="F77" i="40"/>
  <c r="F89" i="40"/>
  <c r="F95" i="40"/>
  <c r="M110" i="42" l="1"/>
  <c r="M109" i="42"/>
  <c r="M112" i="42"/>
  <c r="M113" i="42"/>
  <c r="G113" i="40"/>
  <c r="M111" i="42"/>
  <c r="G110" i="40"/>
  <c r="T112" i="69"/>
  <c r="V110" i="69"/>
  <c r="E110" i="40"/>
  <c r="V112" i="69"/>
  <c r="E111" i="69"/>
  <c r="F113" i="40"/>
  <c r="F110" i="40"/>
  <c r="E110" i="69"/>
  <c r="E113" i="40"/>
  <c r="V109" i="69"/>
  <c r="U111" i="69"/>
  <c r="U109" i="69"/>
  <c r="V113" i="69"/>
  <c r="G112" i="40"/>
  <c r="H112" i="40"/>
  <c r="E112" i="69"/>
  <c r="T113" i="69"/>
  <c r="T110" i="69"/>
  <c r="F111" i="40"/>
  <c r="H110" i="40"/>
  <c r="U112" i="69"/>
  <c r="E112" i="40"/>
  <c r="T111" i="69"/>
  <c r="T109" i="69"/>
  <c r="H113" i="40"/>
  <c r="G111" i="40"/>
  <c r="E109" i="69"/>
  <c r="F112" i="40"/>
  <c r="U113" i="69"/>
  <c r="E111" i="40"/>
  <c r="H111" i="40"/>
  <c r="U110" i="69"/>
  <c r="E113" i="69"/>
  <c r="V111" i="69"/>
  <c r="G104" i="45"/>
  <c r="S26" i="69"/>
  <c r="I43" i="40"/>
  <c r="I38" i="40"/>
  <c r="S92" i="69"/>
  <c r="I73" i="40"/>
  <c r="S22" i="69"/>
  <c r="S38" i="69"/>
  <c r="S84" i="69"/>
  <c r="S23" i="69"/>
  <c r="S79" i="69"/>
  <c r="S73" i="69"/>
  <c r="S57" i="69"/>
  <c r="S41" i="69"/>
  <c r="I61" i="40"/>
  <c r="S97" i="69"/>
  <c r="S17" i="69"/>
  <c r="S80" i="69"/>
  <c r="S85" i="69"/>
  <c r="S69" i="69"/>
  <c r="S53" i="69"/>
  <c r="S37" i="69"/>
  <c r="S70" i="69"/>
  <c r="S42" i="69"/>
  <c r="I60" i="40"/>
  <c r="I77" i="40"/>
  <c r="S77" i="69"/>
  <c r="S51" i="69"/>
  <c r="S45" i="69"/>
  <c r="S35" i="69"/>
  <c r="S54" i="69"/>
  <c r="S83" i="69"/>
  <c r="S67" i="69"/>
  <c r="S44" i="69"/>
  <c r="I79" i="40"/>
  <c r="I63" i="40"/>
  <c r="I78" i="40"/>
  <c r="S72" i="69"/>
  <c r="S28" i="69"/>
  <c r="S89" i="69"/>
  <c r="S102" i="69"/>
  <c r="S64" i="69"/>
  <c r="S99" i="69"/>
  <c r="S29" i="69"/>
  <c r="S96" i="69"/>
  <c r="S103" i="69"/>
  <c r="S87" i="69"/>
  <c r="S71" i="69"/>
  <c r="S61" i="69"/>
  <c r="S55" i="69"/>
  <c r="S39" i="69"/>
  <c r="S94" i="69"/>
  <c r="S24" i="69"/>
  <c r="S50" i="69"/>
  <c r="S19" i="69"/>
  <c r="S93" i="69"/>
  <c r="S86" i="69"/>
  <c r="S62" i="69"/>
  <c r="S48" i="69"/>
  <c r="S16" i="69"/>
  <c r="D96" i="69"/>
  <c r="D97" i="40"/>
  <c r="D57" i="40"/>
  <c r="D56" i="69"/>
  <c r="D102" i="69"/>
  <c r="D103" i="40"/>
  <c r="D92" i="40"/>
  <c r="D91" i="69"/>
  <c r="D84" i="40"/>
  <c r="D83" i="69"/>
  <c r="D62" i="40"/>
  <c r="D61" i="69"/>
  <c r="S27" i="69"/>
  <c r="D70" i="69"/>
  <c r="D71" i="40"/>
  <c r="D26" i="69"/>
  <c r="D27" i="40"/>
  <c r="D101" i="69"/>
  <c r="D102" i="40"/>
  <c r="D72" i="69"/>
  <c r="D73" i="40"/>
  <c r="D16" i="40"/>
  <c r="D15" i="69"/>
  <c r="D60" i="69"/>
  <c r="D61" i="40"/>
  <c r="D46" i="69"/>
  <c r="D47" i="40"/>
  <c r="I88" i="40"/>
  <c r="D104" i="40"/>
  <c r="D103" i="69"/>
  <c r="D87" i="69"/>
  <c r="D88" i="40"/>
  <c r="S81" i="69"/>
  <c r="D71" i="69"/>
  <c r="D72" i="40"/>
  <c r="S65" i="69"/>
  <c r="D56" i="40"/>
  <c r="D55" i="69"/>
  <c r="S49" i="69"/>
  <c r="D40" i="40"/>
  <c r="D39" i="69"/>
  <c r="S33" i="69"/>
  <c r="D29" i="69"/>
  <c r="D30" i="40"/>
  <c r="D23" i="69"/>
  <c r="D24" i="40"/>
  <c r="S88" i="69"/>
  <c r="S56" i="69"/>
  <c r="D42" i="69"/>
  <c r="D43" i="40"/>
  <c r="D105" i="40"/>
  <c r="D104" i="69"/>
  <c r="S78" i="69"/>
  <c r="D41" i="40"/>
  <c r="D40" i="69"/>
  <c r="D90" i="69"/>
  <c r="D91" i="40"/>
  <c r="D22" i="69"/>
  <c r="D23" i="40"/>
  <c r="S98" i="69"/>
  <c r="D76" i="69"/>
  <c r="D77" i="40"/>
  <c r="S68" i="69"/>
  <c r="D54" i="69"/>
  <c r="D55" i="40"/>
  <c r="D35" i="40"/>
  <c r="D34" i="69"/>
  <c r="D79" i="40"/>
  <c r="D78" i="69"/>
  <c r="D87" i="40"/>
  <c r="D86" i="69"/>
  <c r="D48" i="69"/>
  <c r="D49" i="40"/>
  <c r="D38" i="69"/>
  <c r="D39" i="40"/>
  <c r="S91" i="69"/>
  <c r="D52" i="40"/>
  <c r="D51" i="69"/>
  <c r="D27" i="69"/>
  <c r="D28" i="40"/>
  <c r="D95" i="40"/>
  <c r="D94" i="69"/>
  <c r="D101" i="40"/>
  <c r="D100" i="69"/>
  <c r="S101" i="69"/>
  <c r="S52" i="69"/>
  <c r="S32" i="69"/>
  <c r="D67" i="40"/>
  <c r="D66" i="69"/>
  <c r="I50" i="40"/>
  <c r="D106" i="40"/>
  <c r="D105" i="69"/>
  <c r="S95" i="69"/>
  <c r="D86" i="40"/>
  <c r="D85" i="69"/>
  <c r="D80" i="40"/>
  <c r="D79" i="69"/>
  <c r="D69" i="69"/>
  <c r="D70" i="40"/>
  <c r="S63" i="69"/>
  <c r="D53" i="69"/>
  <c r="D54" i="40"/>
  <c r="S47" i="69"/>
  <c r="D38" i="40"/>
  <c r="D37" i="69"/>
  <c r="S31" i="69"/>
  <c r="S25" i="69"/>
  <c r="S60" i="69"/>
  <c r="D53" i="40"/>
  <c r="D52" i="69"/>
  <c r="D44" i="69"/>
  <c r="D45" i="40"/>
  <c r="D33" i="40"/>
  <c r="D32" i="69"/>
  <c r="S20" i="69"/>
  <c r="S46" i="69"/>
  <c r="D82" i="69"/>
  <c r="D83" i="40"/>
  <c r="S18" i="69"/>
  <c r="D97" i="69"/>
  <c r="D98" i="40"/>
  <c r="D78" i="40"/>
  <c r="D77" i="69"/>
  <c r="D45" i="69"/>
  <c r="D46" i="40"/>
  <c r="D68" i="40"/>
  <c r="D67" i="69"/>
  <c r="D62" i="69"/>
  <c r="D63" i="40"/>
  <c r="D16" i="69"/>
  <c r="D17" i="40"/>
  <c r="D28" i="69"/>
  <c r="D29" i="40"/>
  <c r="D74" i="40"/>
  <c r="D73" i="69"/>
  <c r="D58" i="40"/>
  <c r="D57" i="69"/>
  <c r="D42" i="40"/>
  <c r="D41" i="69"/>
  <c r="D22" i="40"/>
  <c r="D21" i="69"/>
  <c r="D96" i="40"/>
  <c r="D95" i="69"/>
  <c r="D63" i="69"/>
  <c r="D64" i="40"/>
  <c r="D47" i="69"/>
  <c r="D48" i="40"/>
  <c r="D31" i="69"/>
  <c r="D32" i="40"/>
  <c r="S100" i="69"/>
  <c r="D12" i="69"/>
  <c r="Y12" i="5"/>
  <c r="S105" i="69"/>
  <c r="D99" i="69"/>
  <c r="D100" i="40"/>
  <c r="D89" i="69"/>
  <c r="D90" i="40"/>
  <c r="S75" i="69"/>
  <c r="S59" i="69"/>
  <c r="S43" i="69"/>
  <c r="D25" i="69"/>
  <c r="D26" i="40"/>
  <c r="S106" i="69"/>
  <c r="D92" i="69"/>
  <c r="D93" i="40"/>
  <c r="D75" i="40"/>
  <c r="D74" i="69"/>
  <c r="D36" i="69"/>
  <c r="D37" i="40"/>
  <c r="D30" i="69"/>
  <c r="D31" i="40"/>
  <c r="D20" i="69"/>
  <c r="D21" i="40"/>
  <c r="S58" i="69"/>
  <c r="S82" i="69"/>
  <c r="D18" i="69"/>
  <c r="D19" i="40"/>
  <c r="D18" i="40"/>
  <c r="D17" i="69"/>
  <c r="D89" i="40"/>
  <c r="D88" i="69"/>
  <c r="D35" i="69"/>
  <c r="D36" i="40"/>
  <c r="D25" i="40"/>
  <c r="D24" i="69"/>
  <c r="S66" i="69"/>
  <c r="S21" i="69"/>
  <c r="Y10" i="5"/>
  <c r="I14" i="40" s="1"/>
  <c r="D93" i="69"/>
  <c r="D94" i="40"/>
  <c r="D81" i="69"/>
  <c r="D82" i="40"/>
  <c r="D75" i="69"/>
  <c r="D76" i="40"/>
  <c r="D66" i="40"/>
  <c r="D65" i="69"/>
  <c r="D60" i="40"/>
  <c r="D59" i="69"/>
  <c r="D50" i="40"/>
  <c r="D49" i="69"/>
  <c r="D43" i="69"/>
  <c r="D44" i="40"/>
  <c r="D34" i="40"/>
  <c r="D33" i="69"/>
  <c r="D20" i="40"/>
  <c r="D19" i="69"/>
  <c r="D13" i="69"/>
  <c r="D14" i="40"/>
  <c r="D106" i="69"/>
  <c r="D107" i="40"/>
  <c r="D84" i="69"/>
  <c r="D85" i="40"/>
  <c r="S74" i="69"/>
  <c r="D64" i="69"/>
  <c r="D65" i="40"/>
  <c r="D50" i="69"/>
  <c r="D51" i="40"/>
  <c r="S36" i="69"/>
  <c r="S104" i="69"/>
  <c r="D80" i="69"/>
  <c r="D81" i="40"/>
  <c r="S40" i="69"/>
  <c r="S30" i="69"/>
  <c r="S90" i="69"/>
  <c r="D59" i="40"/>
  <c r="D58" i="69"/>
  <c r="D99" i="40"/>
  <c r="D98" i="69"/>
  <c r="S76" i="69"/>
  <c r="D68" i="69"/>
  <c r="D69" i="40"/>
  <c r="S34" i="69"/>
  <c r="D15" i="40"/>
  <c r="D14" i="69"/>
  <c r="Y11" i="5"/>
  <c r="K104" i="45"/>
  <c r="B103" i="42"/>
  <c r="I103" i="42" s="1"/>
  <c r="I107" i="40"/>
  <c r="I92" i="40"/>
  <c r="B105" i="40"/>
  <c r="N104" i="45"/>
  <c r="M104" i="45"/>
  <c r="P104" i="45"/>
  <c r="Q104" i="45"/>
  <c r="I104" i="45"/>
  <c r="I93" i="40"/>
  <c r="I30" i="40"/>
  <c r="I98" i="40"/>
  <c r="I31" i="40"/>
  <c r="I90" i="40"/>
  <c r="I86" i="40"/>
  <c r="I100" i="40"/>
  <c r="I99" i="40"/>
  <c r="I94" i="40"/>
  <c r="I74" i="40"/>
  <c r="I102" i="40"/>
  <c r="U104" i="45"/>
  <c r="I103" i="40"/>
  <c r="I101" i="40"/>
  <c r="S104" i="45"/>
  <c r="I29" i="40"/>
  <c r="I104" i="40"/>
  <c r="I97" i="40"/>
  <c r="V104" i="45"/>
  <c r="I96" i="40"/>
  <c r="I105" i="40"/>
  <c r="W104" i="45"/>
  <c r="I21" i="40"/>
  <c r="L104" i="45"/>
  <c r="I32" i="40"/>
  <c r="O104" i="45"/>
  <c r="I106" i="40"/>
  <c r="I91" i="40"/>
  <c r="I89" i="40"/>
  <c r="I59" i="40"/>
  <c r="R105" i="40" l="1"/>
  <c r="Y110" i="5"/>
  <c r="I52" i="40"/>
  <c r="Y111" i="5"/>
  <c r="Y113" i="5"/>
  <c r="I68" i="40"/>
  <c r="Y112" i="5"/>
  <c r="N113" i="40"/>
  <c r="D110" i="69"/>
  <c r="L110" i="40"/>
  <c r="S109" i="69"/>
  <c r="D111" i="40"/>
  <c r="O112" i="40"/>
  <c r="S113" i="69"/>
  <c r="L112" i="40"/>
  <c r="O110" i="40"/>
  <c r="D112" i="40"/>
  <c r="D111" i="69"/>
  <c r="D112" i="69"/>
  <c r="N110" i="40"/>
  <c r="M110" i="40"/>
  <c r="D113" i="69"/>
  <c r="D113" i="40"/>
  <c r="M112" i="40"/>
  <c r="L111" i="40"/>
  <c r="O111" i="40"/>
  <c r="S112" i="69"/>
  <c r="S110" i="69"/>
  <c r="M113" i="40"/>
  <c r="N111" i="40"/>
  <c r="S111" i="69"/>
  <c r="D110" i="40"/>
  <c r="N112" i="40"/>
  <c r="O113" i="40"/>
  <c r="L113" i="40"/>
  <c r="D109" i="69"/>
  <c r="M111" i="40"/>
  <c r="I71" i="40"/>
  <c r="F28" i="45"/>
  <c r="D28" i="45"/>
  <c r="E28" i="45"/>
  <c r="F36" i="45"/>
  <c r="D36" i="45"/>
  <c r="E36" i="45"/>
  <c r="F73" i="45"/>
  <c r="E73" i="45"/>
  <c r="D73" i="45"/>
  <c r="G97" i="45"/>
  <c r="D19" i="45"/>
  <c r="F19" i="45"/>
  <c r="E19" i="45"/>
  <c r="G85" i="45"/>
  <c r="F58" i="45"/>
  <c r="E58" i="45"/>
  <c r="D58" i="45"/>
  <c r="F43" i="45"/>
  <c r="D43" i="45"/>
  <c r="E43" i="45"/>
  <c r="F40" i="45"/>
  <c r="E40" i="45"/>
  <c r="D40" i="45"/>
  <c r="G93" i="45"/>
  <c r="D27" i="45"/>
  <c r="F27" i="45"/>
  <c r="E27" i="45"/>
  <c r="G47" i="45"/>
  <c r="F47" i="45"/>
  <c r="D47" i="45"/>
  <c r="E47" i="45"/>
  <c r="F63" i="45"/>
  <c r="D63" i="45"/>
  <c r="E63" i="45"/>
  <c r="E38" i="45"/>
  <c r="D38" i="45"/>
  <c r="F38" i="45"/>
  <c r="G52" i="45"/>
  <c r="F52" i="45"/>
  <c r="E52" i="45"/>
  <c r="D52" i="45"/>
  <c r="E22" i="45"/>
  <c r="D22" i="45"/>
  <c r="F22" i="45"/>
  <c r="G29" i="45"/>
  <c r="E29" i="45"/>
  <c r="D29" i="45"/>
  <c r="F29" i="45"/>
  <c r="F16" i="45"/>
  <c r="E16" i="45"/>
  <c r="D16" i="45"/>
  <c r="F71" i="45"/>
  <c r="D71" i="45"/>
  <c r="E71" i="45"/>
  <c r="D34" i="45"/>
  <c r="E34" i="45"/>
  <c r="F34" i="45"/>
  <c r="G32" i="45"/>
  <c r="F32" i="45"/>
  <c r="E32" i="45"/>
  <c r="D32" i="45"/>
  <c r="M35" i="45"/>
  <c r="D35" i="45"/>
  <c r="F35" i="45"/>
  <c r="E35" i="45"/>
  <c r="F55" i="45"/>
  <c r="E55" i="45"/>
  <c r="D55" i="45"/>
  <c r="F44" i="45"/>
  <c r="E44" i="45"/>
  <c r="D44" i="45"/>
  <c r="G68" i="45"/>
  <c r="F68" i="45"/>
  <c r="E68" i="45"/>
  <c r="D68" i="45"/>
  <c r="F23" i="45"/>
  <c r="D23" i="45"/>
  <c r="E23" i="45"/>
  <c r="F20" i="45"/>
  <c r="D20" i="45"/>
  <c r="E20" i="45"/>
  <c r="G106" i="45"/>
  <c r="G88" i="45"/>
  <c r="G69" i="45"/>
  <c r="F69" i="45"/>
  <c r="E69" i="45"/>
  <c r="D69" i="45"/>
  <c r="E41" i="45"/>
  <c r="F41" i="45"/>
  <c r="D41" i="45"/>
  <c r="F54" i="45"/>
  <c r="E54" i="45"/>
  <c r="D54" i="45"/>
  <c r="F48" i="45"/>
  <c r="E48" i="45"/>
  <c r="D48" i="45"/>
  <c r="E25" i="45"/>
  <c r="F25" i="45"/>
  <c r="D25" i="45"/>
  <c r="F39" i="45"/>
  <c r="E39" i="45"/>
  <c r="D39" i="45"/>
  <c r="E18" i="45"/>
  <c r="D18" i="45"/>
  <c r="F18" i="45"/>
  <c r="B104" i="45"/>
  <c r="K104" i="69"/>
  <c r="B97" i="40"/>
  <c r="U101" i="40" s="1"/>
  <c r="F72" i="45"/>
  <c r="E72" i="45"/>
  <c r="D72" i="45"/>
  <c r="L79" i="45"/>
  <c r="F66" i="45"/>
  <c r="E66" i="45"/>
  <c r="D66" i="45"/>
  <c r="F46" i="45"/>
  <c r="E46" i="45"/>
  <c r="D46" i="45"/>
  <c r="G80" i="45"/>
  <c r="F75" i="45"/>
  <c r="D75" i="45"/>
  <c r="E75" i="45"/>
  <c r="F24" i="45"/>
  <c r="E24" i="45"/>
  <c r="D24" i="45"/>
  <c r="D26" i="45"/>
  <c r="F26" i="45"/>
  <c r="E26" i="45"/>
  <c r="F61" i="45"/>
  <c r="E61" i="45"/>
  <c r="D61" i="45"/>
  <c r="G31" i="45"/>
  <c r="D31" i="45"/>
  <c r="F31" i="45"/>
  <c r="E31" i="45"/>
  <c r="Q70" i="45"/>
  <c r="F70" i="45"/>
  <c r="E70" i="45"/>
  <c r="D70" i="45"/>
  <c r="F57" i="45"/>
  <c r="E57" i="45"/>
  <c r="D57" i="45"/>
  <c r="E21" i="45"/>
  <c r="D21" i="45"/>
  <c r="F21" i="45"/>
  <c r="E17" i="45"/>
  <c r="D17" i="45"/>
  <c r="F17" i="45"/>
  <c r="D30" i="45"/>
  <c r="E30" i="45"/>
  <c r="F30" i="45"/>
  <c r="D15" i="45"/>
  <c r="F15" i="45"/>
  <c r="E15" i="45"/>
  <c r="G45" i="45"/>
  <c r="F45" i="45"/>
  <c r="E45" i="45"/>
  <c r="D45" i="45"/>
  <c r="F74" i="45"/>
  <c r="E74" i="45"/>
  <c r="D74" i="45"/>
  <c r="I75" i="40"/>
  <c r="W37" i="45"/>
  <c r="I35" i="45"/>
  <c r="U35" i="45"/>
  <c r="W35" i="45"/>
  <c r="I36" i="40"/>
  <c r="K35" i="45"/>
  <c r="B36" i="40"/>
  <c r="N35" i="45"/>
  <c r="I37" i="40"/>
  <c r="I44" i="40"/>
  <c r="V35" i="45"/>
  <c r="S35" i="45"/>
  <c r="Q35" i="45"/>
  <c r="K113" i="40"/>
  <c r="O35" i="45"/>
  <c r="S79" i="45"/>
  <c r="I45" i="40"/>
  <c r="I67" i="40"/>
  <c r="I80" i="40"/>
  <c r="I41" i="40"/>
  <c r="I39" i="40"/>
  <c r="I58" i="40"/>
  <c r="U70" i="45"/>
  <c r="I76" i="40"/>
  <c r="B22" i="42"/>
  <c r="G23" i="45"/>
  <c r="B29" i="42"/>
  <c r="G30" i="45"/>
  <c r="B91" i="42"/>
  <c r="G92" i="45"/>
  <c r="K39" i="45"/>
  <c r="G39" i="45"/>
  <c r="B95" i="42"/>
  <c r="G96" i="45"/>
  <c r="K72" i="45"/>
  <c r="G72" i="45"/>
  <c r="B40" i="42"/>
  <c r="G41" i="45"/>
  <c r="B89" i="42"/>
  <c r="G90" i="45"/>
  <c r="B37" i="42"/>
  <c r="G38" i="45"/>
  <c r="O70" i="45"/>
  <c r="G70" i="45"/>
  <c r="B39" i="42"/>
  <c r="G40" i="45"/>
  <c r="B74" i="42"/>
  <c r="G75" i="45"/>
  <c r="W40" i="45"/>
  <c r="B19" i="42"/>
  <c r="G20" i="45"/>
  <c r="B24" i="42"/>
  <c r="G25" i="45"/>
  <c r="B21" i="42"/>
  <c r="G22" i="45"/>
  <c r="B20" i="42"/>
  <c r="G21" i="45"/>
  <c r="B27" i="42"/>
  <c r="G28" i="45"/>
  <c r="I40" i="45"/>
  <c r="B105" i="42"/>
  <c r="B27" i="40"/>
  <c r="G26" i="45"/>
  <c r="K70" i="45"/>
  <c r="B56" i="42"/>
  <c r="G57" i="45"/>
  <c r="B90" i="42"/>
  <c r="G91" i="45"/>
  <c r="B60" i="42"/>
  <c r="G61" i="45"/>
  <c r="G84" i="45"/>
  <c r="O79" i="45"/>
  <c r="G79" i="45"/>
  <c r="B65" i="42"/>
  <c r="G66" i="45"/>
  <c r="K58" i="45"/>
  <c r="G58" i="45"/>
  <c r="M46" i="45"/>
  <c r="G46" i="45"/>
  <c r="B73" i="42"/>
  <c r="G74" i="45"/>
  <c r="N55" i="45"/>
  <c r="G55" i="45"/>
  <c r="B43" i="42"/>
  <c r="G44" i="45"/>
  <c r="B98" i="42"/>
  <c r="G99" i="45"/>
  <c r="P66" i="45"/>
  <c r="Q58" i="45"/>
  <c r="B18" i="42"/>
  <c r="G19" i="45"/>
  <c r="B17" i="42"/>
  <c r="G18" i="45"/>
  <c r="B93" i="42"/>
  <c r="G94" i="45"/>
  <c r="B15" i="42"/>
  <c r="G16" i="45"/>
  <c r="B41" i="40"/>
  <c r="B69" i="42"/>
  <c r="N102" i="45"/>
  <c r="G102" i="45"/>
  <c r="B81" i="42"/>
  <c r="G82" i="45"/>
  <c r="S71" i="45"/>
  <c r="G71" i="45"/>
  <c r="B62" i="42"/>
  <c r="G63" i="45"/>
  <c r="B82" i="42"/>
  <c r="G83" i="45"/>
  <c r="B80" i="42"/>
  <c r="G81" i="45"/>
  <c r="L103" i="45"/>
  <c r="G103" i="45"/>
  <c r="W54" i="45"/>
  <c r="G54" i="45"/>
  <c r="B47" i="42"/>
  <c r="G48" i="45"/>
  <c r="Q98" i="45"/>
  <c r="G98" i="45"/>
  <c r="B35" i="42"/>
  <c r="G36" i="45"/>
  <c r="B16" i="42"/>
  <c r="G17" i="45"/>
  <c r="B72" i="42"/>
  <c r="G73" i="45"/>
  <c r="K66" i="69"/>
  <c r="B23" i="42"/>
  <c r="G24" i="45"/>
  <c r="O96" i="45"/>
  <c r="K81" i="45"/>
  <c r="B26" i="42"/>
  <c r="G27" i="45"/>
  <c r="L101" i="45"/>
  <c r="G101" i="45"/>
  <c r="B14" i="42"/>
  <c r="G15" i="45"/>
  <c r="K105" i="45"/>
  <c r="G105" i="45"/>
  <c r="G34" i="45"/>
  <c r="P95" i="45"/>
  <c r="G95" i="45"/>
  <c r="B34" i="42"/>
  <c r="G35" i="45"/>
  <c r="B42" i="42"/>
  <c r="G43" i="45"/>
  <c r="B85" i="42"/>
  <c r="G86" i="45"/>
  <c r="V89" i="45"/>
  <c r="G89" i="45"/>
  <c r="B99" i="42"/>
  <c r="G100" i="45"/>
  <c r="M104" i="69"/>
  <c r="P104" i="69"/>
  <c r="I70" i="45"/>
  <c r="B76" i="40"/>
  <c r="S70" i="45"/>
  <c r="V79" i="45"/>
  <c r="K70" i="69"/>
  <c r="L75" i="45"/>
  <c r="C75" i="45"/>
  <c r="M40" i="45"/>
  <c r="K40" i="45"/>
  <c r="B71" i="40"/>
  <c r="V40" i="45"/>
  <c r="M70" i="45"/>
  <c r="K100" i="69"/>
  <c r="B80" i="40"/>
  <c r="O75" i="45"/>
  <c r="W75" i="45"/>
  <c r="U40" i="45"/>
  <c r="V75" i="45"/>
  <c r="S75" i="45"/>
  <c r="Q75" i="45"/>
  <c r="N75" i="45"/>
  <c r="Q40" i="45"/>
  <c r="P40" i="45"/>
  <c r="M81" i="45"/>
  <c r="K101" i="45"/>
  <c r="S66" i="45"/>
  <c r="C70" i="45"/>
  <c r="P70" i="45"/>
  <c r="L40" i="45"/>
  <c r="W70" i="45"/>
  <c r="P35" i="45"/>
  <c r="C35" i="45"/>
  <c r="M75" i="45"/>
  <c r="C40" i="45"/>
  <c r="U96" i="45"/>
  <c r="L35" i="45"/>
  <c r="K75" i="45"/>
  <c r="L70" i="45"/>
  <c r="C72" i="45"/>
  <c r="N36" i="45"/>
  <c r="I100" i="45"/>
  <c r="K86" i="69"/>
  <c r="P43" i="45"/>
  <c r="V63" i="45"/>
  <c r="K100" i="45"/>
  <c r="S36" i="45"/>
  <c r="I81" i="40"/>
  <c r="P77" i="40" s="1"/>
  <c r="U63" i="45"/>
  <c r="N86" i="45"/>
  <c r="V100" i="45"/>
  <c r="V70" i="45"/>
  <c r="R41" i="69"/>
  <c r="I36" i="45"/>
  <c r="W98" i="45"/>
  <c r="Q63" i="45"/>
  <c r="L100" i="45"/>
  <c r="W72" i="45"/>
  <c r="W63" i="45"/>
  <c r="W86" i="45"/>
  <c r="L43" i="45"/>
  <c r="O100" i="45"/>
  <c r="K36" i="45"/>
  <c r="U98" i="45"/>
  <c r="M36" i="45"/>
  <c r="N70" i="45"/>
  <c r="N83" i="45"/>
  <c r="U79" i="45"/>
  <c r="M79" i="45"/>
  <c r="S40" i="45"/>
  <c r="W38" i="45"/>
  <c r="U75" i="45"/>
  <c r="B91" i="40"/>
  <c r="P75" i="45"/>
  <c r="I75" i="45"/>
  <c r="N40" i="45"/>
  <c r="O86" i="45"/>
  <c r="V90" i="45"/>
  <c r="O40" i="45"/>
  <c r="V36" i="45"/>
  <c r="S68" i="45"/>
  <c r="V68" i="45"/>
  <c r="N68" i="45"/>
  <c r="Q68" i="45"/>
  <c r="K68" i="45"/>
  <c r="W68" i="45"/>
  <c r="I68" i="45"/>
  <c r="O68" i="45"/>
  <c r="M68" i="45"/>
  <c r="U68" i="45"/>
  <c r="B67" i="42"/>
  <c r="B69" i="40"/>
  <c r="C68" i="45"/>
  <c r="L68" i="45"/>
  <c r="P68" i="45"/>
  <c r="B51" i="42"/>
  <c r="U52" i="45"/>
  <c r="P52" i="45"/>
  <c r="N52" i="45"/>
  <c r="V52" i="45"/>
  <c r="B53" i="40"/>
  <c r="Q52" i="45"/>
  <c r="C52" i="45"/>
  <c r="S52" i="45"/>
  <c r="I52" i="45"/>
  <c r="O52" i="45"/>
  <c r="L52" i="45"/>
  <c r="M52" i="45"/>
  <c r="K52" i="45"/>
  <c r="W52" i="45"/>
  <c r="U72" i="45"/>
  <c r="W34" i="45"/>
  <c r="M90" i="45"/>
  <c r="P72" i="45"/>
  <c r="B71" i="42"/>
  <c r="C36" i="45"/>
  <c r="B37" i="40"/>
  <c r="W90" i="45"/>
  <c r="I34" i="45"/>
  <c r="P34" i="45"/>
  <c r="U90" i="45"/>
  <c r="P98" i="45"/>
  <c r="O90" i="45"/>
  <c r="I105" i="45"/>
  <c r="W103" i="45"/>
  <c r="K79" i="45"/>
  <c r="Q79" i="45"/>
  <c r="Y79" i="69"/>
  <c r="W36" i="45"/>
  <c r="I53" i="40"/>
  <c r="I69" i="40"/>
  <c r="I35" i="40"/>
  <c r="I62" i="40"/>
  <c r="N90" i="45"/>
  <c r="Q90" i="45"/>
  <c r="Q72" i="45"/>
  <c r="M72" i="45"/>
  <c r="O36" i="45"/>
  <c r="B78" i="42"/>
  <c r="O72" i="45"/>
  <c r="S34" i="45"/>
  <c r="S90" i="45"/>
  <c r="O34" i="45"/>
  <c r="C34" i="45"/>
  <c r="V34" i="45"/>
  <c r="P90" i="45"/>
  <c r="N72" i="45"/>
  <c r="L90" i="45"/>
  <c r="L36" i="45"/>
  <c r="Q36" i="45"/>
  <c r="P36" i="45"/>
  <c r="K36" i="69"/>
  <c r="Q54" i="45"/>
  <c r="N34" i="45"/>
  <c r="B99" i="40"/>
  <c r="V72" i="45"/>
  <c r="P79" i="45"/>
  <c r="I79" i="45"/>
  <c r="N79" i="45"/>
  <c r="L72" i="45"/>
  <c r="S72" i="45"/>
  <c r="L34" i="45"/>
  <c r="W79" i="45"/>
  <c r="I49" i="40"/>
  <c r="I90" i="45"/>
  <c r="M101" i="45"/>
  <c r="I72" i="45"/>
  <c r="B73" i="40"/>
  <c r="S102" i="45"/>
  <c r="K90" i="45"/>
  <c r="U36" i="45"/>
  <c r="B33" i="42"/>
  <c r="M100" i="45"/>
  <c r="B101" i="40"/>
  <c r="U58" i="45"/>
  <c r="N66" i="45"/>
  <c r="W100" i="45"/>
  <c r="I43" i="45"/>
  <c r="Q89" i="45"/>
  <c r="L96" i="45"/>
  <c r="L81" i="45"/>
  <c r="U86" i="45"/>
  <c r="M86" i="45"/>
  <c r="S100" i="45"/>
  <c r="R24" i="69"/>
  <c r="W43" i="45"/>
  <c r="P100" i="45"/>
  <c r="N100" i="45"/>
  <c r="Q100" i="45"/>
  <c r="I48" i="40"/>
  <c r="O43" i="45"/>
  <c r="W66" i="45"/>
  <c r="Q43" i="45"/>
  <c r="K96" i="45"/>
  <c r="O81" i="45"/>
  <c r="U100" i="45"/>
  <c r="I58" i="45"/>
  <c r="P58" i="45"/>
  <c r="V83" i="45"/>
  <c r="N63" i="45"/>
  <c r="W81" i="45"/>
  <c r="W58" i="45"/>
  <c r="Q34" i="45"/>
  <c r="B35" i="40"/>
  <c r="K98" i="69"/>
  <c r="S43" i="45"/>
  <c r="M58" i="45"/>
  <c r="W96" i="45"/>
  <c r="B56" i="40"/>
  <c r="L105" i="45"/>
  <c r="I42" i="40"/>
  <c r="S96" i="45"/>
  <c r="P96" i="45"/>
  <c r="N96" i="45"/>
  <c r="I96" i="45"/>
  <c r="U81" i="45"/>
  <c r="Q81" i="45"/>
  <c r="O63" i="45"/>
  <c r="C63" i="45"/>
  <c r="P63" i="45"/>
  <c r="M63" i="45"/>
  <c r="P86" i="45"/>
  <c r="I103" i="45"/>
  <c r="U34" i="45"/>
  <c r="K34" i="45"/>
  <c r="B57" i="42"/>
  <c r="N58" i="45"/>
  <c r="I64" i="40"/>
  <c r="I55" i="40"/>
  <c r="P55" i="45"/>
  <c r="S63" i="45"/>
  <c r="K63" i="45"/>
  <c r="S58" i="45"/>
  <c r="S98" i="45"/>
  <c r="M34" i="45"/>
  <c r="N98" i="45"/>
  <c r="O58" i="45"/>
  <c r="C58" i="45"/>
  <c r="B59" i="40"/>
  <c r="U43" i="45"/>
  <c r="I84" i="40"/>
  <c r="V43" i="45"/>
  <c r="N43" i="45"/>
  <c r="C43" i="45"/>
  <c r="V96" i="45"/>
  <c r="Q96" i="45"/>
  <c r="M96" i="45"/>
  <c r="S81" i="45"/>
  <c r="N81" i="45"/>
  <c r="B82" i="40"/>
  <c r="L63" i="45"/>
  <c r="I63" i="45"/>
  <c r="B64" i="40"/>
  <c r="S86" i="45"/>
  <c r="I86" i="45"/>
  <c r="P103" i="45"/>
  <c r="L58" i="45"/>
  <c r="L83" i="45"/>
  <c r="V58" i="45"/>
  <c r="L98" i="45"/>
  <c r="K83" i="45"/>
  <c r="S83" i="45"/>
  <c r="W105" i="45"/>
  <c r="W39" i="45"/>
  <c r="K89" i="69"/>
  <c r="O83" i="45"/>
  <c r="M38" i="45"/>
  <c r="I38" i="45"/>
  <c r="P105" i="45"/>
  <c r="N89" i="45"/>
  <c r="V38" i="45"/>
  <c r="S55" i="45"/>
  <c r="U57" i="45"/>
  <c r="S105" i="45"/>
  <c r="M105" i="45"/>
  <c r="Q83" i="45"/>
  <c r="N57" i="45"/>
  <c r="O105" i="45"/>
  <c r="L89" i="45"/>
  <c r="B90" i="40"/>
  <c r="V105" i="45"/>
  <c r="L38" i="45"/>
  <c r="C38" i="45"/>
  <c r="N38" i="45"/>
  <c r="M71" i="45"/>
  <c r="W83" i="45"/>
  <c r="P89" i="45"/>
  <c r="K38" i="45"/>
  <c r="L55" i="45"/>
  <c r="P38" i="45"/>
  <c r="B39" i="40"/>
  <c r="Q105" i="45"/>
  <c r="B106" i="40"/>
  <c r="I83" i="45"/>
  <c r="B84" i="40"/>
  <c r="B72" i="40"/>
  <c r="W89" i="45"/>
  <c r="U38" i="45"/>
  <c r="B104" i="42"/>
  <c r="I104" i="42" s="1"/>
  <c r="K89" i="45"/>
  <c r="O89" i="45"/>
  <c r="I89" i="45"/>
  <c r="P83" i="45"/>
  <c r="Q38" i="45"/>
  <c r="K105" i="69"/>
  <c r="M83" i="45"/>
  <c r="O71" i="45"/>
  <c r="M89" i="45"/>
  <c r="O38" i="45"/>
  <c r="B88" i="42"/>
  <c r="U105" i="45"/>
  <c r="U89" i="45"/>
  <c r="N54" i="45"/>
  <c r="N105" i="45"/>
  <c r="S89" i="45"/>
  <c r="U83" i="45"/>
  <c r="K39" i="69"/>
  <c r="S38" i="45"/>
  <c r="B44" i="42"/>
  <c r="P45" i="45"/>
  <c r="U45" i="45"/>
  <c r="B45" i="42"/>
  <c r="P46" i="45"/>
  <c r="C46" i="45"/>
  <c r="B104" i="40"/>
  <c r="I57" i="40"/>
  <c r="I13" i="40"/>
  <c r="B53" i="42"/>
  <c r="V54" i="45"/>
  <c r="M54" i="45"/>
  <c r="I54" i="45"/>
  <c r="O54" i="45"/>
  <c r="U54" i="45"/>
  <c r="P54" i="45"/>
  <c r="B101" i="42"/>
  <c r="Q102" i="45"/>
  <c r="L102" i="45"/>
  <c r="U102" i="45"/>
  <c r="P102" i="45"/>
  <c r="O102" i="45"/>
  <c r="W102" i="45"/>
  <c r="B103" i="40"/>
  <c r="V102" i="45"/>
  <c r="I56" i="40"/>
  <c r="C54" i="45"/>
  <c r="I34" i="40"/>
  <c r="K102" i="45"/>
  <c r="K54" i="45"/>
  <c r="B87" i="42"/>
  <c r="U88" i="45"/>
  <c r="B83" i="42"/>
  <c r="S84" i="45"/>
  <c r="I65" i="40"/>
  <c r="U103" i="45"/>
  <c r="B68" i="42"/>
  <c r="C69" i="45"/>
  <c r="I66" i="40"/>
  <c r="B94" i="42"/>
  <c r="K95" i="45"/>
  <c r="S95" i="45"/>
  <c r="I95" i="45"/>
  <c r="B54" i="42"/>
  <c r="M55" i="45"/>
  <c r="Q55" i="45"/>
  <c r="U55" i="45"/>
  <c r="C55" i="45"/>
  <c r="O55" i="45"/>
  <c r="K55" i="45"/>
  <c r="I55" i="45"/>
  <c r="W55" i="45"/>
  <c r="L54" i="45"/>
  <c r="I16" i="40"/>
  <c r="V55" i="45"/>
  <c r="M102" i="45"/>
  <c r="S54" i="45"/>
  <c r="B30" i="42"/>
  <c r="B31" i="42"/>
  <c r="O32" i="45"/>
  <c r="Q32" i="45"/>
  <c r="B102" i="42"/>
  <c r="I102" i="42" s="1"/>
  <c r="M103" i="45"/>
  <c r="Q103" i="45"/>
  <c r="N103" i="45"/>
  <c r="V103" i="45"/>
  <c r="S103" i="45"/>
  <c r="K103" i="45"/>
  <c r="O103" i="45"/>
  <c r="N31" i="45"/>
  <c r="B46" i="40"/>
  <c r="I54" i="40"/>
  <c r="O69" i="45"/>
  <c r="B55" i="40"/>
  <c r="S46" i="45"/>
  <c r="I102" i="45"/>
  <c r="I82" i="40"/>
  <c r="O98" i="45"/>
  <c r="L66" i="45"/>
  <c r="C66" i="45"/>
  <c r="M98" i="45"/>
  <c r="B44" i="40"/>
  <c r="V86" i="45"/>
  <c r="B97" i="42"/>
  <c r="K71" i="45"/>
  <c r="M43" i="45"/>
  <c r="K43" i="69"/>
  <c r="I81" i="45"/>
  <c r="K86" i="45"/>
  <c r="Q86" i="45"/>
  <c r="V98" i="45"/>
  <c r="K98" i="45"/>
  <c r="B67" i="40"/>
  <c r="I98" i="45"/>
  <c r="I87" i="40"/>
  <c r="K57" i="69"/>
  <c r="B102" i="40"/>
  <c r="W91" i="45"/>
  <c r="V81" i="45"/>
  <c r="P81" i="45"/>
  <c r="L86" i="45"/>
  <c r="B87" i="40"/>
  <c r="K66" i="45"/>
  <c r="K43" i="45"/>
  <c r="R35" i="69"/>
  <c r="R82" i="69"/>
  <c r="R64" i="69"/>
  <c r="R69" i="69"/>
  <c r="R58" i="69"/>
  <c r="R40" i="69"/>
  <c r="K31" i="45"/>
  <c r="M45" i="45"/>
  <c r="W32" i="45"/>
  <c r="I71" i="45"/>
  <c r="I40" i="40"/>
  <c r="M39" i="45"/>
  <c r="I39" i="45"/>
  <c r="I101" i="45"/>
  <c r="B47" i="40"/>
  <c r="V32" i="45"/>
  <c r="V31" i="45"/>
  <c r="O101" i="45"/>
  <c r="S69" i="45"/>
  <c r="Q31" i="45"/>
  <c r="M66" i="45"/>
  <c r="N45" i="45"/>
  <c r="C45" i="45"/>
  <c r="I33" i="40"/>
  <c r="U71" i="45"/>
  <c r="N71" i="45"/>
  <c r="V101" i="45"/>
  <c r="W101" i="45"/>
  <c r="Q69" i="45"/>
  <c r="W71" i="45"/>
  <c r="P101" i="45"/>
  <c r="K46" i="45"/>
  <c r="P32" i="45"/>
  <c r="I32" i="45"/>
  <c r="O95" i="45"/>
  <c r="Q95" i="45"/>
  <c r="B96" i="40"/>
  <c r="B113" i="5"/>
  <c r="K45" i="45"/>
  <c r="L69" i="45"/>
  <c r="R48" i="69"/>
  <c r="R72" i="69"/>
  <c r="L31" i="45"/>
  <c r="I31" i="45"/>
  <c r="P31" i="45"/>
  <c r="I51" i="40"/>
  <c r="Q101" i="45"/>
  <c r="N32" i="45"/>
  <c r="V39" i="45"/>
  <c r="V71" i="45"/>
  <c r="M31" i="45"/>
  <c r="B32" i="40"/>
  <c r="I66" i="45"/>
  <c r="W69" i="45"/>
  <c r="I45" i="45"/>
  <c r="L71" i="45"/>
  <c r="W46" i="45"/>
  <c r="P71" i="45"/>
  <c r="S45" i="45"/>
  <c r="U39" i="45"/>
  <c r="W82" i="45"/>
  <c r="Q39" i="45"/>
  <c r="U46" i="45"/>
  <c r="N46" i="45"/>
  <c r="K32" i="45"/>
  <c r="C32" i="45"/>
  <c r="U95" i="45"/>
  <c r="K91" i="45"/>
  <c r="S31" i="45"/>
  <c r="S39" i="45"/>
  <c r="B100" i="42"/>
  <c r="L46" i="45"/>
  <c r="L39" i="45"/>
  <c r="O82" i="45"/>
  <c r="B33" i="40"/>
  <c r="U91" i="45"/>
  <c r="O45" i="45"/>
  <c r="O66" i="45"/>
  <c r="W31" i="45"/>
  <c r="B31" i="69"/>
  <c r="K31" i="69" s="1"/>
  <c r="W95" i="45"/>
  <c r="I47" i="40"/>
  <c r="Q71" i="45"/>
  <c r="W45" i="45"/>
  <c r="P39" i="45"/>
  <c r="N101" i="45"/>
  <c r="V46" i="45"/>
  <c r="L32" i="45"/>
  <c r="M32" i="45"/>
  <c r="L95" i="45"/>
  <c r="M95" i="45"/>
  <c r="O39" i="45"/>
  <c r="U66" i="45"/>
  <c r="U31" i="45"/>
  <c r="C39" i="45"/>
  <c r="O46" i="45"/>
  <c r="U32" i="45"/>
  <c r="O31" i="45"/>
  <c r="V45" i="45"/>
  <c r="B38" i="42"/>
  <c r="B70" i="42"/>
  <c r="C31" i="45"/>
  <c r="Q66" i="45"/>
  <c r="B83" i="40"/>
  <c r="Q45" i="45"/>
  <c r="C71" i="45"/>
  <c r="L45" i="45"/>
  <c r="I46" i="40"/>
  <c r="N39" i="45"/>
  <c r="B40" i="40"/>
  <c r="I46" i="45"/>
  <c r="Q46" i="45"/>
  <c r="S32" i="45"/>
  <c r="V95" i="45"/>
  <c r="N95" i="45"/>
  <c r="V66" i="45"/>
  <c r="U84" i="45"/>
  <c r="R80" i="69"/>
  <c r="R92" i="69"/>
  <c r="R49" i="69"/>
  <c r="R38" i="69"/>
  <c r="R31" i="69"/>
  <c r="R37" i="69"/>
  <c r="R87" i="69"/>
  <c r="R57" i="69"/>
  <c r="R102" i="69"/>
  <c r="R50" i="69"/>
  <c r="R43" i="69"/>
  <c r="R75" i="69"/>
  <c r="R95" i="69"/>
  <c r="R45" i="69"/>
  <c r="R105" i="69"/>
  <c r="R29" i="69"/>
  <c r="R81" i="69"/>
  <c r="R97" i="69"/>
  <c r="R88" i="69"/>
  <c r="R67" i="69"/>
  <c r="R44" i="69"/>
  <c r="R85" i="69"/>
  <c r="R22" i="69"/>
  <c r="R104" i="69"/>
  <c r="R55" i="69"/>
  <c r="R103" i="69"/>
  <c r="R56" i="69"/>
  <c r="R25" i="69"/>
  <c r="R74" i="69"/>
  <c r="R23" i="69"/>
  <c r="R46" i="69"/>
  <c r="R98" i="69"/>
  <c r="R20" i="69"/>
  <c r="R63" i="69"/>
  <c r="R73" i="69"/>
  <c r="R100" i="69"/>
  <c r="R86" i="69"/>
  <c r="R83" i="69"/>
  <c r="I83" i="40"/>
  <c r="I82" i="45"/>
  <c r="R76" i="69"/>
  <c r="P57" i="45"/>
  <c r="R28" i="69"/>
  <c r="R53" i="69"/>
  <c r="R90" i="69"/>
  <c r="B85" i="40"/>
  <c r="W84" i="45"/>
  <c r="C57" i="45"/>
  <c r="I69" i="45"/>
  <c r="I72" i="40"/>
  <c r="K101" i="69"/>
  <c r="B89" i="40"/>
  <c r="S91" i="45"/>
  <c r="M91" i="45"/>
  <c r="B92" i="40"/>
  <c r="L82" i="45"/>
  <c r="K57" i="45"/>
  <c r="R93" i="69"/>
  <c r="R99" i="69"/>
  <c r="R27" i="69"/>
  <c r="R34" i="69"/>
  <c r="R47" i="69"/>
  <c r="S88" i="45"/>
  <c r="M84" i="45"/>
  <c r="V88" i="45"/>
  <c r="P91" i="45"/>
  <c r="R89" i="69"/>
  <c r="P88" i="45"/>
  <c r="R19" i="69"/>
  <c r="R59" i="69"/>
  <c r="R30" i="69"/>
  <c r="S82" i="45"/>
  <c r="P84" i="45"/>
  <c r="K84" i="69"/>
  <c r="P82" i="45"/>
  <c r="I85" i="40"/>
  <c r="M57" i="45"/>
  <c r="Q57" i="45"/>
  <c r="U101" i="45"/>
  <c r="M69" i="45"/>
  <c r="P69" i="45"/>
  <c r="K88" i="45"/>
  <c r="I88" i="45"/>
  <c r="M88" i="45"/>
  <c r="V91" i="45"/>
  <c r="V82" i="45"/>
  <c r="V84" i="45"/>
  <c r="L57" i="45"/>
  <c r="R68" i="69"/>
  <c r="R84" i="69"/>
  <c r="R33" i="69"/>
  <c r="R65" i="69"/>
  <c r="R21" i="69"/>
  <c r="R16" i="69"/>
  <c r="R77" i="69"/>
  <c r="R52" i="69"/>
  <c r="R94" i="69"/>
  <c r="R51" i="69"/>
  <c r="R78" i="69"/>
  <c r="R71" i="69"/>
  <c r="R101" i="69"/>
  <c r="R91" i="69"/>
  <c r="R96" i="69"/>
  <c r="R61" i="69"/>
  <c r="Q84" i="45"/>
  <c r="R17" i="69"/>
  <c r="I84" i="45"/>
  <c r="I91" i="45"/>
  <c r="U82" i="45"/>
  <c r="W88" i="45"/>
  <c r="M82" i="45"/>
  <c r="W57" i="45"/>
  <c r="I57" i="45"/>
  <c r="N69" i="45"/>
  <c r="O88" i="45"/>
  <c r="N88" i="45"/>
  <c r="L91" i="45"/>
  <c r="Q91" i="45"/>
  <c r="K82" i="45"/>
  <c r="K84" i="45"/>
  <c r="V57" i="45"/>
  <c r="R18" i="69"/>
  <c r="R32" i="69"/>
  <c r="R42" i="69"/>
  <c r="R39" i="69"/>
  <c r="R60" i="69"/>
  <c r="Q82" i="45"/>
  <c r="O84" i="45"/>
  <c r="I70" i="40"/>
  <c r="R26" i="69"/>
  <c r="N84" i="45"/>
  <c r="N82" i="45"/>
  <c r="V69" i="45"/>
  <c r="U69" i="45"/>
  <c r="S57" i="45"/>
  <c r="B58" i="40"/>
  <c r="S101" i="45"/>
  <c r="B70" i="40"/>
  <c r="L88" i="45"/>
  <c r="Q88" i="45"/>
  <c r="O91" i="45"/>
  <c r="N91" i="45"/>
  <c r="L84" i="45"/>
  <c r="O57" i="45"/>
  <c r="K69" i="45"/>
  <c r="R106" i="69"/>
  <c r="R36" i="69"/>
  <c r="R62" i="69"/>
  <c r="R79" i="69"/>
  <c r="R66" i="69"/>
  <c r="R54" i="69"/>
  <c r="R70" i="69"/>
  <c r="M26" i="45"/>
  <c r="K27" i="45"/>
  <c r="L27" i="45"/>
  <c r="Q26" i="45"/>
  <c r="L15" i="45"/>
  <c r="P15" i="45"/>
  <c r="B16" i="40"/>
  <c r="V20" i="40" s="1"/>
  <c r="N15" i="45"/>
  <c r="O27" i="45"/>
  <c r="O15" i="45"/>
  <c r="P27" i="45"/>
  <c r="K15" i="45"/>
  <c r="M15" i="45"/>
  <c r="N27" i="45"/>
  <c r="B15" i="69"/>
  <c r="AE19" i="69" s="1"/>
  <c r="Q27" i="45"/>
  <c r="B28" i="40"/>
  <c r="Q15" i="45"/>
  <c r="I15" i="40"/>
  <c r="M27" i="45"/>
  <c r="B27" i="69"/>
  <c r="W85" i="45"/>
  <c r="B84" i="42"/>
  <c r="P26" i="45"/>
  <c r="W93" i="45"/>
  <c r="B92" i="42"/>
  <c r="L26" i="45"/>
  <c r="W97" i="45"/>
  <c r="B96" i="42"/>
  <c r="W47" i="45"/>
  <c r="B46" i="42"/>
  <c r="B26" i="69"/>
  <c r="K26" i="69" s="1"/>
  <c r="W80" i="45"/>
  <c r="B79" i="42"/>
  <c r="W29" i="45"/>
  <c r="B28" i="42"/>
  <c r="N26" i="45"/>
  <c r="O26" i="45"/>
  <c r="B25" i="42"/>
  <c r="K26" i="45"/>
  <c r="H103" i="42"/>
  <c r="J103" i="42"/>
  <c r="X104" i="45"/>
  <c r="Q19" i="45"/>
  <c r="B19" i="69"/>
  <c r="B20" i="40"/>
  <c r="N19" i="45"/>
  <c r="P19" i="45"/>
  <c r="M19" i="45"/>
  <c r="K19" i="45"/>
  <c r="L19" i="45"/>
  <c r="O19" i="45"/>
  <c r="B24" i="69"/>
  <c r="B25" i="40"/>
  <c r="Q24" i="45"/>
  <c r="P24" i="45"/>
  <c r="M24" i="45"/>
  <c r="N24" i="45"/>
  <c r="O24" i="45"/>
  <c r="L24" i="45"/>
  <c r="K24" i="45"/>
  <c r="L23" i="45"/>
  <c r="B23" i="69"/>
  <c r="B24" i="40"/>
  <c r="Q23" i="45"/>
  <c r="P23" i="45"/>
  <c r="M23" i="45"/>
  <c r="N23" i="45"/>
  <c r="O23" i="45"/>
  <c r="K23" i="45"/>
  <c r="B74" i="40"/>
  <c r="Q73" i="45"/>
  <c r="M73" i="45"/>
  <c r="N73" i="45"/>
  <c r="I73" i="45"/>
  <c r="C73" i="45"/>
  <c r="P73" i="45"/>
  <c r="S73" i="45"/>
  <c r="V73" i="45"/>
  <c r="O73" i="45"/>
  <c r="L73" i="45"/>
  <c r="U73" i="45"/>
  <c r="K73" i="45"/>
  <c r="L30" i="45"/>
  <c r="B30" i="69"/>
  <c r="B31" i="40"/>
  <c r="P30" i="45"/>
  <c r="Q30" i="45"/>
  <c r="M30" i="45"/>
  <c r="N30" i="45"/>
  <c r="C30" i="45"/>
  <c r="I30" i="45"/>
  <c r="V30" i="45"/>
  <c r="S30" i="45"/>
  <c r="O30" i="45"/>
  <c r="K30" i="45"/>
  <c r="U30" i="45"/>
  <c r="B49" i="40"/>
  <c r="M48" i="45"/>
  <c r="C48" i="45"/>
  <c r="Q48" i="45"/>
  <c r="N48" i="45"/>
  <c r="I48" i="45"/>
  <c r="P48" i="45"/>
  <c r="V48" i="45"/>
  <c r="L48" i="45"/>
  <c r="S48" i="45"/>
  <c r="K48" i="45"/>
  <c r="O48" i="45"/>
  <c r="U48" i="45"/>
  <c r="W94" i="45"/>
  <c r="K94" i="69"/>
  <c r="B95" i="40"/>
  <c r="R91" i="40" s="1"/>
  <c r="N94" i="45"/>
  <c r="M94" i="45"/>
  <c r="I94" i="45"/>
  <c r="Q94" i="45"/>
  <c r="P94" i="45"/>
  <c r="L94" i="45"/>
  <c r="O94" i="45"/>
  <c r="V94" i="45"/>
  <c r="S94" i="45"/>
  <c r="K94" i="45"/>
  <c r="U94" i="45"/>
  <c r="B28" i="69"/>
  <c r="B29" i="40"/>
  <c r="M28" i="45"/>
  <c r="Q28" i="45"/>
  <c r="N28" i="45"/>
  <c r="P28" i="45"/>
  <c r="O28" i="45"/>
  <c r="L28" i="45"/>
  <c r="K28" i="45"/>
  <c r="B62" i="40"/>
  <c r="P61" i="45"/>
  <c r="N61" i="45"/>
  <c r="C61" i="45"/>
  <c r="M61" i="45"/>
  <c r="Q61" i="45"/>
  <c r="I61" i="45"/>
  <c r="O61" i="45"/>
  <c r="S61" i="45"/>
  <c r="V61" i="45"/>
  <c r="K61" i="45"/>
  <c r="L61" i="45"/>
  <c r="U61" i="45"/>
  <c r="W73" i="45"/>
  <c r="B18" i="69"/>
  <c r="K18" i="69" s="1"/>
  <c r="B19" i="40"/>
  <c r="N18" i="45"/>
  <c r="Q18" i="45"/>
  <c r="P18" i="45"/>
  <c r="M18" i="45"/>
  <c r="O18" i="45"/>
  <c r="L18" i="45"/>
  <c r="K18" i="45"/>
  <c r="I106" i="45"/>
  <c r="Y106" i="69"/>
  <c r="B107" i="40"/>
  <c r="P106" i="45"/>
  <c r="M106" i="45"/>
  <c r="Q106" i="45"/>
  <c r="N106" i="45"/>
  <c r="S106" i="45"/>
  <c r="U106" i="45"/>
  <c r="K106" i="45"/>
  <c r="O106" i="45"/>
  <c r="L106" i="45"/>
  <c r="V106" i="45"/>
  <c r="P21" i="45"/>
  <c r="B21" i="69"/>
  <c r="K21" i="69" s="1"/>
  <c r="B22" i="40"/>
  <c r="M21" i="45"/>
  <c r="N21" i="45"/>
  <c r="Q21" i="45"/>
  <c r="O21" i="45"/>
  <c r="L21" i="45"/>
  <c r="K21" i="45"/>
  <c r="I29" i="45"/>
  <c r="B29" i="69"/>
  <c r="K29" i="69" s="1"/>
  <c r="B30" i="40"/>
  <c r="P29" i="45"/>
  <c r="N29" i="45"/>
  <c r="C29" i="45"/>
  <c r="M29" i="45"/>
  <c r="Q29" i="45"/>
  <c r="S29" i="45"/>
  <c r="V29" i="45"/>
  <c r="U29" i="45"/>
  <c r="O29" i="45"/>
  <c r="L29" i="45"/>
  <c r="K29" i="45"/>
  <c r="N104" i="69"/>
  <c r="L104" i="69"/>
  <c r="O104" i="69"/>
  <c r="W106" i="45"/>
  <c r="B48" i="40"/>
  <c r="M47" i="45"/>
  <c r="N47" i="45"/>
  <c r="I47" i="45"/>
  <c r="C47" i="45"/>
  <c r="P47" i="45"/>
  <c r="Q47" i="45"/>
  <c r="V47" i="45"/>
  <c r="L47" i="45"/>
  <c r="O47" i="45"/>
  <c r="U47" i="45"/>
  <c r="K47" i="45"/>
  <c r="S47" i="45"/>
  <c r="P85" i="45"/>
  <c r="K85" i="69"/>
  <c r="B86" i="40"/>
  <c r="R82" i="40" s="1"/>
  <c r="M85" i="45"/>
  <c r="I85" i="45"/>
  <c r="Q85" i="45"/>
  <c r="N85" i="45"/>
  <c r="O85" i="45"/>
  <c r="L85" i="45"/>
  <c r="U85" i="45"/>
  <c r="K85" i="45"/>
  <c r="V85" i="45"/>
  <c r="S85" i="45"/>
  <c r="I92" i="45"/>
  <c r="B93" i="40"/>
  <c r="P92" i="45"/>
  <c r="M92" i="45"/>
  <c r="N92" i="45"/>
  <c r="Q92" i="45"/>
  <c r="U92" i="45"/>
  <c r="L92" i="45"/>
  <c r="O92" i="45"/>
  <c r="K92" i="45"/>
  <c r="S92" i="45"/>
  <c r="V92" i="45"/>
  <c r="W48" i="45"/>
  <c r="W92" i="45"/>
  <c r="N97" i="45"/>
  <c r="B98" i="40"/>
  <c r="P97" i="45"/>
  <c r="M97" i="45"/>
  <c r="Q97" i="45"/>
  <c r="I97" i="45"/>
  <c r="L97" i="45"/>
  <c r="S97" i="45"/>
  <c r="K97" i="45"/>
  <c r="O97" i="45"/>
  <c r="V97" i="45"/>
  <c r="U97" i="45"/>
  <c r="B42" i="40"/>
  <c r="Q41" i="45"/>
  <c r="N41" i="45"/>
  <c r="M41" i="45"/>
  <c r="I41" i="45"/>
  <c r="C41" i="45"/>
  <c r="P41" i="45"/>
  <c r="U41" i="45"/>
  <c r="S41" i="45"/>
  <c r="V41" i="45"/>
  <c r="K41" i="45"/>
  <c r="O41" i="45"/>
  <c r="L41" i="45"/>
  <c r="B16" i="69"/>
  <c r="K16" i="69" s="1"/>
  <c r="B17" i="40"/>
  <c r="N16" i="45"/>
  <c r="P16" i="45"/>
  <c r="M16" i="45"/>
  <c r="Q16" i="45"/>
  <c r="K16" i="45"/>
  <c r="L16" i="45"/>
  <c r="O16" i="45"/>
  <c r="B100" i="40"/>
  <c r="P99" i="45"/>
  <c r="Q99" i="45"/>
  <c r="N99" i="45"/>
  <c r="M99" i="45"/>
  <c r="I99" i="45"/>
  <c r="K99" i="45"/>
  <c r="O99" i="45"/>
  <c r="S99" i="45"/>
  <c r="V99" i="45"/>
  <c r="U99" i="45"/>
  <c r="L99" i="45"/>
  <c r="W30" i="45"/>
  <c r="B25" i="69"/>
  <c r="Y25" i="69" s="1"/>
  <c r="B26" i="40"/>
  <c r="N25" i="45"/>
  <c r="P25" i="45"/>
  <c r="M25" i="45"/>
  <c r="Q25" i="45"/>
  <c r="L25" i="45"/>
  <c r="K25" i="45"/>
  <c r="O25" i="45"/>
  <c r="W41" i="45"/>
  <c r="B81" i="40"/>
  <c r="Q80" i="45"/>
  <c r="I80" i="45"/>
  <c r="M80" i="45"/>
  <c r="P80" i="45"/>
  <c r="N80" i="45"/>
  <c r="U80" i="45"/>
  <c r="V80" i="45"/>
  <c r="S80" i="45"/>
  <c r="L80" i="45"/>
  <c r="O80" i="45"/>
  <c r="K80" i="45"/>
  <c r="B75" i="40"/>
  <c r="Y74" i="69"/>
  <c r="C74" i="45"/>
  <c r="Q74" i="45"/>
  <c r="M74" i="45"/>
  <c r="N74" i="45"/>
  <c r="P74" i="45"/>
  <c r="I74" i="45"/>
  <c r="S74" i="45"/>
  <c r="V74" i="45"/>
  <c r="U74" i="45"/>
  <c r="K74" i="45"/>
  <c r="O74" i="45"/>
  <c r="L74" i="45"/>
  <c r="Y44" i="69"/>
  <c r="B45" i="40"/>
  <c r="N44" i="45"/>
  <c r="M44" i="45"/>
  <c r="P44" i="45"/>
  <c r="I44" i="45"/>
  <c r="C44" i="45"/>
  <c r="Q44" i="45"/>
  <c r="U44" i="45"/>
  <c r="O44" i="45"/>
  <c r="V44" i="45"/>
  <c r="L44" i="45"/>
  <c r="K44" i="45"/>
  <c r="S44" i="45"/>
  <c r="W44" i="45"/>
  <c r="B17" i="69"/>
  <c r="K17" i="69" s="1"/>
  <c r="B18" i="40"/>
  <c r="P17" i="45"/>
  <c r="Q17" i="45"/>
  <c r="N17" i="45"/>
  <c r="M17" i="45"/>
  <c r="L17" i="45"/>
  <c r="K17" i="45"/>
  <c r="O17" i="45"/>
  <c r="B20" i="69"/>
  <c r="B21" i="40"/>
  <c r="N20" i="45"/>
  <c r="M20" i="45"/>
  <c r="Q20" i="45"/>
  <c r="P20" i="45"/>
  <c r="K20" i="45"/>
  <c r="O20" i="45"/>
  <c r="L20" i="45"/>
  <c r="K22" i="45"/>
  <c r="B23" i="40"/>
  <c r="B22" i="69"/>
  <c r="Y22" i="69" s="1"/>
  <c r="Q22" i="45"/>
  <c r="P22" i="45"/>
  <c r="N22" i="45"/>
  <c r="M22" i="45"/>
  <c r="L22" i="45"/>
  <c r="O22" i="45"/>
  <c r="B94" i="40"/>
  <c r="P93" i="45"/>
  <c r="Q93" i="45"/>
  <c r="N93" i="45"/>
  <c r="I93" i="45"/>
  <c r="M93" i="45"/>
  <c r="O93" i="45"/>
  <c r="S93" i="45"/>
  <c r="K93" i="45"/>
  <c r="V93" i="45"/>
  <c r="L93" i="45"/>
  <c r="U93" i="45"/>
  <c r="W61" i="45"/>
  <c r="W99" i="45"/>
  <c r="W74" i="45"/>
  <c r="R89" i="40" l="1"/>
  <c r="R95" i="40"/>
  <c r="R86" i="40"/>
  <c r="R99" i="40"/>
  <c r="R81" i="40"/>
  <c r="R77" i="40" s="1"/>
  <c r="V101" i="40"/>
  <c r="R96" i="40"/>
  <c r="R97" i="40"/>
  <c r="R80" i="40"/>
  <c r="W101" i="40"/>
  <c r="R103" i="40"/>
  <c r="R107" i="40"/>
  <c r="R90" i="40"/>
  <c r="R92" i="40"/>
  <c r="R93" i="40"/>
  <c r="R85" i="40"/>
  <c r="R102" i="40"/>
  <c r="R106" i="40"/>
  <c r="R87" i="40"/>
  <c r="R98" i="40"/>
  <c r="R104" i="40"/>
  <c r="R100" i="40"/>
  <c r="R94" i="40"/>
  <c r="R83" i="40"/>
  <c r="R101" i="40"/>
  <c r="I110" i="40"/>
  <c r="B111" i="5"/>
  <c r="B112" i="5"/>
  <c r="B110" i="5"/>
  <c r="B113" i="42"/>
  <c r="Y47" i="69"/>
  <c r="R111" i="69"/>
  <c r="R109" i="69"/>
  <c r="I113" i="40"/>
  <c r="R113" i="69"/>
  <c r="K112" i="40"/>
  <c r="K52" i="69"/>
  <c r="K92" i="69"/>
  <c r="B113" i="69"/>
  <c r="K32" i="69"/>
  <c r="I112" i="40"/>
  <c r="K72" i="69"/>
  <c r="B32" i="45"/>
  <c r="I111" i="40"/>
  <c r="K110" i="40"/>
  <c r="R110" i="69"/>
  <c r="R112" i="69"/>
  <c r="K111" i="40"/>
  <c r="Y99" i="69"/>
  <c r="Y102" i="69"/>
  <c r="B47" i="45"/>
  <c r="Y19" i="69"/>
  <c r="B93" i="45"/>
  <c r="B52" i="45"/>
  <c r="Y93" i="69"/>
  <c r="B85" i="45"/>
  <c r="Y28" i="69"/>
  <c r="B29" i="45"/>
  <c r="B88" i="45"/>
  <c r="B45" i="45"/>
  <c r="B80" i="45"/>
  <c r="B97" i="45"/>
  <c r="I53" i="42"/>
  <c r="R57" i="42"/>
  <c r="I44" i="42"/>
  <c r="R48" i="42"/>
  <c r="I67" i="42"/>
  <c r="R71" i="42"/>
  <c r="H72" i="42"/>
  <c r="I72" i="42"/>
  <c r="R76" i="42"/>
  <c r="S21" i="42"/>
  <c r="I17" i="42"/>
  <c r="R21" i="42"/>
  <c r="Y20" i="69"/>
  <c r="Y61" i="69"/>
  <c r="Y23" i="69"/>
  <c r="I25" i="42"/>
  <c r="R29" i="42"/>
  <c r="I46" i="42"/>
  <c r="R50" i="42"/>
  <c r="I84" i="42"/>
  <c r="R88" i="42"/>
  <c r="I100" i="42"/>
  <c r="R104" i="42"/>
  <c r="I31" i="42"/>
  <c r="R35" i="42"/>
  <c r="I68" i="42"/>
  <c r="R72" i="42"/>
  <c r="I71" i="42"/>
  <c r="R75" i="42"/>
  <c r="S20" i="42"/>
  <c r="I16" i="42"/>
  <c r="R20" i="42"/>
  <c r="T84" i="42"/>
  <c r="I80" i="42"/>
  <c r="R84" i="42"/>
  <c r="J62" i="42"/>
  <c r="I62" i="42"/>
  <c r="R66" i="42"/>
  <c r="S85" i="42"/>
  <c r="I81" i="42"/>
  <c r="R85" i="42"/>
  <c r="T97" i="42"/>
  <c r="I93" i="42"/>
  <c r="R97" i="42"/>
  <c r="H18" i="42"/>
  <c r="I18" i="42"/>
  <c r="R22" i="42"/>
  <c r="S102" i="42"/>
  <c r="I98" i="42"/>
  <c r="R102" i="42"/>
  <c r="S69" i="42"/>
  <c r="I65" i="42"/>
  <c r="R69" i="42"/>
  <c r="J90" i="42"/>
  <c r="I90" i="42"/>
  <c r="R94" i="42"/>
  <c r="J74" i="42"/>
  <c r="I74" i="42"/>
  <c r="R78" i="42"/>
  <c r="J89" i="42"/>
  <c r="I89" i="42"/>
  <c r="R93" i="42"/>
  <c r="T33" i="42"/>
  <c r="I29" i="42"/>
  <c r="R33" i="42"/>
  <c r="Y104" i="69"/>
  <c r="I96" i="42"/>
  <c r="R100" i="42"/>
  <c r="J30" i="42"/>
  <c r="I30" i="42"/>
  <c r="R34" i="42"/>
  <c r="T39" i="42"/>
  <c r="I35" i="42"/>
  <c r="R39" i="42"/>
  <c r="S19" i="42"/>
  <c r="I15" i="42"/>
  <c r="R19" i="42"/>
  <c r="I79" i="42"/>
  <c r="R83" i="42"/>
  <c r="I92" i="42"/>
  <c r="R96" i="42"/>
  <c r="I54" i="42"/>
  <c r="R58" i="42"/>
  <c r="I83" i="42"/>
  <c r="R87" i="42"/>
  <c r="I51" i="42"/>
  <c r="R55" i="42"/>
  <c r="S103" i="42"/>
  <c r="I99" i="42"/>
  <c r="R103" i="42"/>
  <c r="T89" i="42"/>
  <c r="I85" i="42"/>
  <c r="R89" i="42"/>
  <c r="S38" i="42"/>
  <c r="I34" i="42"/>
  <c r="R38" i="42"/>
  <c r="T18" i="42"/>
  <c r="I14" i="42"/>
  <c r="R18" i="42"/>
  <c r="S30" i="42"/>
  <c r="I26" i="42"/>
  <c r="R30" i="42"/>
  <c r="J23" i="42"/>
  <c r="I23" i="42"/>
  <c r="R27" i="42"/>
  <c r="T31" i="42"/>
  <c r="I27" i="42"/>
  <c r="R31" i="42"/>
  <c r="S25" i="42"/>
  <c r="I21" i="42"/>
  <c r="R25" i="42"/>
  <c r="S23" i="42"/>
  <c r="I19" i="42"/>
  <c r="R23" i="42"/>
  <c r="K102" i="69"/>
  <c r="I70" i="42"/>
  <c r="R74" i="42"/>
  <c r="S47" i="42"/>
  <c r="I43" i="42"/>
  <c r="R47" i="42"/>
  <c r="I73" i="42"/>
  <c r="R77" i="42"/>
  <c r="T64" i="42"/>
  <c r="I60" i="42"/>
  <c r="R64" i="42"/>
  <c r="T60" i="42"/>
  <c r="I56" i="42"/>
  <c r="R60" i="42"/>
  <c r="J105" i="42"/>
  <c r="I105" i="42"/>
  <c r="H39" i="42"/>
  <c r="I39" i="42"/>
  <c r="R43" i="42"/>
  <c r="T41" i="42"/>
  <c r="I37" i="42"/>
  <c r="R41" i="42"/>
  <c r="H40" i="42"/>
  <c r="I40" i="42"/>
  <c r="R44" i="42"/>
  <c r="S99" i="42"/>
  <c r="I95" i="42"/>
  <c r="R99" i="42"/>
  <c r="T95" i="42"/>
  <c r="I91" i="42"/>
  <c r="R95" i="42"/>
  <c r="H22" i="42"/>
  <c r="I22" i="42"/>
  <c r="R26" i="42"/>
  <c r="Y97" i="69"/>
  <c r="Q47" i="42"/>
  <c r="I47" i="42"/>
  <c r="R51" i="42"/>
  <c r="S86" i="42"/>
  <c r="I82" i="42"/>
  <c r="R86" i="42"/>
  <c r="I28" i="42"/>
  <c r="R32" i="42"/>
  <c r="T42" i="42"/>
  <c r="I38" i="42"/>
  <c r="R42" i="42"/>
  <c r="H97" i="42"/>
  <c r="I97" i="42"/>
  <c r="R101" i="42"/>
  <c r="S98" i="42"/>
  <c r="I94" i="42"/>
  <c r="R98" i="42"/>
  <c r="H87" i="42"/>
  <c r="I87" i="42"/>
  <c r="R91" i="42"/>
  <c r="I101" i="42"/>
  <c r="R105" i="42"/>
  <c r="I45" i="42"/>
  <c r="R49" i="42"/>
  <c r="I88" i="42"/>
  <c r="R92" i="42"/>
  <c r="T61" i="42"/>
  <c r="I57" i="42"/>
  <c r="R61" i="42"/>
  <c r="I33" i="42"/>
  <c r="R37" i="42"/>
  <c r="I78" i="42"/>
  <c r="R82" i="42"/>
  <c r="Y40" i="69"/>
  <c r="S46" i="42"/>
  <c r="I42" i="42"/>
  <c r="R46" i="42"/>
  <c r="I69" i="42"/>
  <c r="R73" i="42"/>
  <c r="T24" i="42"/>
  <c r="I20" i="42"/>
  <c r="R24" i="42"/>
  <c r="S28" i="42"/>
  <c r="I24" i="42"/>
  <c r="R28" i="42"/>
  <c r="K93" i="69"/>
  <c r="AE92" i="69"/>
  <c r="Y88" i="69"/>
  <c r="AE50" i="69"/>
  <c r="K79" i="69"/>
  <c r="AE30" i="69"/>
  <c r="Y26" i="69"/>
  <c r="AE86" i="69"/>
  <c r="P110" i="40"/>
  <c r="V50" i="40"/>
  <c r="B69" i="45"/>
  <c r="Y83" i="69"/>
  <c r="F51" i="45"/>
  <c r="E51" i="45"/>
  <c r="D51" i="45"/>
  <c r="Y96" i="69"/>
  <c r="Y75" i="69"/>
  <c r="AB62" i="69"/>
  <c r="Y58" i="69"/>
  <c r="K74" i="69"/>
  <c r="K99" i="69"/>
  <c r="K75" i="69"/>
  <c r="K96" i="69"/>
  <c r="AE95" i="69"/>
  <c r="AE75" i="69"/>
  <c r="Y73" i="69"/>
  <c r="AE49" i="69"/>
  <c r="Y45" i="69"/>
  <c r="F113" i="45"/>
  <c r="E113" i="45"/>
  <c r="D113" i="45"/>
  <c r="V107" i="40"/>
  <c r="P105" i="69"/>
  <c r="Y105" i="69"/>
  <c r="W43" i="40"/>
  <c r="X68" i="40"/>
  <c r="Y35" i="69"/>
  <c r="V75" i="40"/>
  <c r="X80" i="40"/>
  <c r="AB70" i="69"/>
  <c r="N13" i="45"/>
  <c r="E13" i="45"/>
  <c r="D13" i="45"/>
  <c r="F13" i="45"/>
  <c r="C13" i="45"/>
  <c r="G42" i="45"/>
  <c r="E42" i="45"/>
  <c r="D42" i="45"/>
  <c r="F42" i="45"/>
  <c r="K19" i="69"/>
  <c r="K61" i="69"/>
  <c r="K97" i="69"/>
  <c r="K20" i="69"/>
  <c r="K28" i="69"/>
  <c r="AE94" i="69"/>
  <c r="Y90" i="69"/>
  <c r="AE34" i="69"/>
  <c r="Y30" i="69"/>
  <c r="AE36" i="69"/>
  <c r="Y32" i="69"/>
  <c r="V36" i="40"/>
  <c r="V100" i="40"/>
  <c r="AE99" i="69"/>
  <c r="Y95" i="69"/>
  <c r="F56" i="45"/>
  <c r="E56" i="45"/>
  <c r="D56" i="45"/>
  <c r="AE102" i="69"/>
  <c r="Y98" i="69"/>
  <c r="V41" i="40"/>
  <c r="AB38" i="69"/>
  <c r="Y34" i="69"/>
  <c r="X31" i="40"/>
  <c r="K71" i="69"/>
  <c r="K34" i="69"/>
  <c r="K25" i="69"/>
  <c r="K23" i="69"/>
  <c r="K106" i="69"/>
  <c r="K45" i="69"/>
  <c r="K35" i="69"/>
  <c r="AE73" i="69"/>
  <c r="Y24" i="69"/>
  <c r="AE31" i="69"/>
  <c r="Y27" i="69"/>
  <c r="W93" i="40"/>
  <c r="G77" i="45"/>
  <c r="AE61" i="69"/>
  <c r="F62" i="45"/>
  <c r="E62" i="45"/>
  <c r="D62" i="45"/>
  <c r="F60" i="45"/>
  <c r="E60" i="45"/>
  <c r="D60" i="45"/>
  <c r="AE42" i="69"/>
  <c r="Y38" i="69"/>
  <c r="W39" i="40"/>
  <c r="AE58" i="69"/>
  <c r="X40" i="40"/>
  <c r="G37" i="45"/>
  <c r="E37" i="45"/>
  <c r="D37" i="45"/>
  <c r="F37" i="45"/>
  <c r="K68" i="69"/>
  <c r="K44" i="69"/>
  <c r="K30" i="69"/>
  <c r="K73" i="69"/>
  <c r="K15" i="69"/>
  <c r="K58" i="69"/>
  <c r="K40" i="69"/>
  <c r="Y85" i="69"/>
  <c r="AE88" i="69"/>
  <c r="Y84" i="69"/>
  <c r="AE105" i="69"/>
  <c r="Y101" i="69"/>
  <c r="AE35" i="69"/>
  <c r="Y31" i="69"/>
  <c r="Y103" i="69"/>
  <c r="F64" i="45"/>
  <c r="E64" i="45"/>
  <c r="D64" i="45"/>
  <c r="V86" i="40"/>
  <c r="Y82" i="69"/>
  <c r="X77" i="40"/>
  <c r="F67" i="45"/>
  <c r="D67" i="45"/>
  <c r="E67" i="45"/>
  <c r="F59" i="45"/>
  <c r="E59" i="45"/>
  <c r="D59" i="45"/>
  <c r="V84" i="40"/>
  <c r="K22" i="69"/>
  <c r="K82" i="69"/>
  <c r="X101" i="40"/>
  <c r="K95" i="69"/>
  <c r="K103" i="69"/>
  <c r="K46" i="69"/>
  <c r="K88" i="69"/>
  <c r="K90" i="69"/>
  <c r="F53" i="45"/>
  <c r="E53" i="45"/>
  <c r="D53" i="45"/>
  <c r="AA76" i="69"/>
  <c r="Y72" i="69"/>
  <c r="Y29" i="69"/>
  <c r="Y48" i="69"/>
  <c r="G14" i="45"/>
  <c r="E14" i="45"/>
  <c r="C14" i="45"/>
  <c r="F14" i="45"/>
  <c r="D14" i="45"/>
  <c r="AE47" i="69"/>
  <c r="Y43" i="69"/>
  <c r="E33" i="45"/>
  <c r="D33" i="45"/>
  <c r="F33" i="45"/>
  <c r="AE43" i="69"/>
  <c r="Y39" i="69"/>
  <c r="X88" i="40"/>
  <c r="AE93" i="69"/>
  <c r="Y89" i="69"/>
  <c r="B68" i="45"/>
  <c r="N100" i="69"/>
  <c r="Y100" i="69"/>
  <c r="X45" i="40"/>
  <c r="K24" i="69"/>
  <c r="K55" i="69"/>
  <c r="K63" i="69"/>
  <c r="K83" i="69"/>
  <c r="K27" i="69"/>
  <c r="K54" i="69"/>
  <c r="K47" i="69"/>
  <c r="Y92" i="69"/>
  <c r="Y21" i="69"/>
  <c r="AE98" i="69"/>
  <c r="Y94" i="69"/>
  <c r="B31" i="45"/>
  <c r="G49" i="45"/>
  <c r="F49" i="45"/>
  <c r="E49" i="45"/>
  <c r="D49" i="45"/>
  <c r="V71" i="40"/>
  <c r="N50" i="45"/>
  <c r="F50" i="45"/>
  <c r="E50" i="45"/>
  <c r="D50" i="45"/>
  <c r="F65" i="45"/>
  <c r="E65" i="45"/>
  <c r="D65" i="45"/>
  <c r="Y36" i="69"/>
  <c r="Y52" i="69"/>
  <c r="U73" i="40"/>
  <c r="Y86" i="69"/>
  <c r="AD74" i="69"/>
  <c r="Y70" i="69"/>
  <c r="W76" i="45"/>
  <c r="K38" i="69"/>
  <c r="K81" i="69"/>
  <c r="K91" i="69"/>
  <c r="K41" i="69"/>
  <c r="K69" i="69"/>
  <c r="K48" i="69"/>
  <c r="K80" i="69"/>
  <c r="P37" i="45"/>
  <c r="B34" i="45"/>
  <c r="I37" i="45"/>
  <c r="H15" i="42"/>
  <c r="H35" i="42"/>
  <c r="J19" i="42"/>
  <c r="O37" i="45"/>
  <c r="B36" i="42"/>
  <c r="L37" i="45"/>
  <c r="V37" i="45"/>
  <c r="B38" i="40"/>
  <c r="B30" i="45"/>
  <c r="Q76" i="45"/>
  <c r="I42" i="45"/>
  <c r="B38" i="45"/>
  <c r="M58" i="69"/>
  <c r="C37" i="45"/>
  <c r="Q37" i="45"/>
  <c r="M37" i="45"/>
  <c r="U37" i="45"/>
  <c r="AE41" i="69"/>
  <c r="N37" i="45"/>
  <c r="S37" i="45"/>
  <c r="K37" i="45"/>
  <c r="P42" i="45"/>
  <c r="Y46" i="69"/>
  <c r="U42" i="45"/>
  <c r="C42" i="45"/>
  <c r="O42" i="45"/>
  <c r="K42" i="45"/>
  <c r="H62" i="42"/>
  <c r="I76" i="45"/>
  <c r="Q42" i="45"/>
  <c r="V42" i="45"/>
  <c r="Q19" i="42"/>
  <c r="B92" i="45"/>
  <c r="N42" i="45"/>
  <c r="L42" i="45"/>
  <c r="W42" i="45"/>
  <c r="S42" i="45"/>
  <c r="Q35" i="42"/>
  <c r="S27" i="42"/>
  <c r="B43" i="40"/>
  <c r="M42" i="45"/>
  <c r="B41" i="42"/>
  <c r="J41" i="42" s="1"/>
  <c r="G76" i="45"/>
  <c r="T28" i="42"/>
  <c r="S94" i="42"/>
  <c r="T69" i="42"/>
  <c r="B70" i="45"/>
  <c r="B75" i="42"/>
  <c r="L69" i="42"/>
  <c r="K76" i="45"/>
  <c r="M76" i="45"/>
  <c r="X35" i="45"/>
  <c r="J24" i="42"/>
  <c r="N76" i="45"/>
  <c r="H24" i="42"/>
  <c r="V45" i="40"/>
  <c r="V76" i="45"/>
  <c r="Q27" i="42"/>
  <c r="O76" i="45"/>
  <c r="L23" i="42"/>
  <c r="T22" i="42"/>
  <c r="B41" i="45"/>
  <c r="S22" i="42"/>
  <c r="S24" i="42"/>
  <c r="S76" i="45"/>
  <c r="P76" i="45"/>
  <c r="S95" i="42"/>
  <c r="V40" i="40"/>
  <c r="B71" i="45"/>
  <c r="L76" i="45"/>
  <c r="B77" i="40"/>
  <c r="U76" i="45"/>
  <c r="Y80" i="69"/>
  <c r="B36" i="45"/>
  <c r="W45" i="40"/>
  <c r="H90" i="42"/>
  <c r="T94" i="42"/>
  <c r="U45" i="40"/>
  <c r="J65" i="42"/>
  <c r="W40" i="40"/>
  <c r="B48" i="45"/>
  <c r="Z74" i="69"/>
  <c r="S93" i="42"/>
  <c r="AC38" i="69"/>
  <c r="L20" i="42"/>
  <c r="H26" i="42"/>
  <c r="AC62" i="69"/>
  <c r="S73" i="42"/>
  <c r="T30" i="42"/>
  <c r="AA62" i="69"/>
  <c r="X96" i="45"/>
  <c r="J93" i="42"/>
  <c r="Q85" i="42"/>
  <c r="J26" i="42"/>
  <c r="N34" i="69"/>
  <c r="N58" i="69"/>
  <c r="O100" i="69"/>
  <c r="T102" i="42"/>
  <c r="S51" i="42"/>
  <c r="H93" i="42"/>
  <c r="B66" i="45"/>
  <c r="M34" i="69"/>
  <c r="AD62" i="69"/>
  <c r="J98" i="42"/>
  <c r="Z38" i="69"/>
  <c r="L70" i="69"/>
  <c r="L58" i="69"/>
  <c r="B13" i="69"/>
  <c r="Y17" i="69" s="1"/>
  <c r="AA104" i="69"/>
  <c r="H47" i="42"/>
  <c r="J85" i="42"/>
  <c r="T47" i="42"/>
  <c r="H82" i="42"/>
  <c r="U40" i="40"/>
  <c r="J43" i="42"/>
  <c r="S43" i="42"/>
  <c r="J14" i="42"/>
  <c r="L99" i="42"/>
  <c r="W31" i="40"/>
  <c r="Q60" i="42"/>
  <c r="S76" i="42"/>
  <c r="J91" i="42"/>
  <c r="J34" i="42"/>
  <c r="B103" i="45"/>
  <c r="U31" i="40"/>
  <c r="L22" i="42"/>
  <c r="T51" i="42"/>
  <c r="Q21" i="42"/>
  <c r="J40" i="42"/>
  <c r="J72" i="42"/>
  <c r="J17" i="42"/>
  <c r="T38" i="42"/>
  <c r="H14" i="42"/>
  <c r="T86" i="42"/>
  <c r="T26" i="42"/>
  <c r="Q103" i="42"/>
  <c r="T44" i="42"/>
  <c r="J69" i="42"/>
  <c r="Q73" i="42"/>
  <c r="B40" i="45"/>
  <c r="B12" i="42"/>
  <c r="AC70" i="69"/>
  <c r="S97" i="42"/>
  <c r="J81" i="42"/>
  <c r="T93" i="42"/>
  <c r="B95" i="45"/>
  <c r="H42" i="42"/>
  <c r="U80" i="40"/>
  <c r="L13" i="45"/>
  <c r="L95" i="42"/>
  <c r="Q95" i="42"/>
  <c r="T85" i="42"/>
  <c r="B75" i="45"/>
  <c r="O66" i="69"/>
  <c r="P13" i="45"/>
  <c r="S78" i="42"/>
  <c r="Q24" i="42"/>
  <c r="L85" i="42"/>
  <c r="Q99" i="42"/>
  <c r="X54" i="45"/>
  <c r="B83" i="45"/>
  <c r="L29" i="42"/>
  <c r="L66" i="69"/>
  <c r="M13" i="45"/>
  <c r="T78" i="42"/>
  <c r="H98" i="42"/>
  <c r="H20" i="42"/>
  <c r="H29" i="42"/>
  <c r="B82" i="45"/>
  <c r="L89" i="42"/>
  <c r="B58" i="45"/>
  <c r="B96" i="45"/>
  <c r="B100" i="45"/>
  <c r="L39" i="42"/>
  <c r="M66" i="69"/>
  <c r="O34" i="69"/>
  <c r="L34" i="69"/>
  <c r="B74" i="45"/>
  <c r="Z70" i="69"/>
  <c r="AD70" i="69"/>
  <c r="O13" i="45"/>
  <c r="B14" i="40"/>
  <c r="AC104" i="69"/>
  <c r="L103" i="42"/>
  <c r="H74" i="42"/>
  <c r="J22" i="42"/>
  <c r="S26" i="42"/>
  <c r="S44" i="42"/>
  <c r="T76" i="42"/>
  <c r="H105" i="42"/>
  <c r="H91" i="42"/>
  <c r="Q26" i="42"/>
  <c r="J47" i="42"/>
  <c r="H34" i="42"/>
  <c r="S33" i="42"/>
  <c r="B91" i="45"/>
  <c r="J95" i="42"/>
  <c r="Q74" i="42"/>
  <c r="Q82" i="42"/>
  <c r="S89" i="42"/>
  <c r="J99" i="42"/>
  <c r="T103" i="42"/>
  <c r="Q51" i="42"/>
  <c r="X70" i="45"/>
  <c r="G13" i="45"/>
  <c r="L73" i="42"/>
  <c r="S39" i="42"/>
  <c r="H99" i="42"/>
  <c r="B79" i="45"/>
  <c r="AA38" i="69"/>
  <c r="AD38" i="69"/>
  <c r="B44" i="45"/>
  <c r="N66" i="69"/>
  <c r="AA70" i="69"/>
  <c r="V31" i="40"/>
  <c r="K13" i="45"/>
  <c r="Q13" i="45"/>
  <c r="B61" i="45"/>
  <c r="J16" i="42"/>
  <c r="Q69" i="42"/>
  <c r="Q93" i="42"/>
  <c r="B57" i="45"/>
  <c r="H95" i="42"/>
  <c r="T99" i="42"/>
  <c r="B101" i="45"/>
  <c r="H89" i="42"/>
  <c r="J82" i="42"/>
  <c r="H85" i="42"/>
  <c r="Q105" i="42"/>
  <c r="B46" i="45"/>
  <c r="X89" i="45"/>
  <c r="S84" i="42"/>
  <c r="J35" i="42"/>
  <c r="L26" i="42"/>
  <c r="L93" i="42"/>
  <c r="L18" i="42"/>
  <c r="L24" i="42"/>
  <c r="P24" i="69"/>
  <c r="AE28" i="69"/>
  <c r="P19" i="69"/>
  <c r="AE23" i="69"/>
  <c r="W33" i="45"/>
  <c r="G33" i="45"/>
  <c r="P63" i="69"/>
  <c r="AE67" i="69"/>
  <c r="P16" i="69"/>
  <c r="AE20" i="69"/>
  <c r="P97" i="69"/>
  <c r="AE101" i="69"/>
  <c r="P25" i="69"/>
  <c r="AE29" i="69"/>
  <c r="P99" i="69"/>
  <c r="AE103" i="69"/>
  <c r="P21" i="69"/>
  <c r="AE25" i="69"/>
  <c r="B86" i="42"/>
  <c r="G87" i="45"/>
  <c r="G113" i="45" s="1"/>
  <c r="W53" i="45"/>
  <c r="G53" i="45"/>
  <c r="S56" i="45"/>
  <c r="G56" i="45"/>
  <c r="P83" i="69"/>
  <c r="AE87" i="69"/>
  <c r="B58" i="42"/>
  <c r="G59" i="45"/>
  <c r="P81" i="69"/>
  <c r="AE85" i="69"/>
  <c r="P70" i="69"/>
  <c r="AE74" i="69"/>
  <c r="P47" i="69"/>
  <c r="AE51" i="69"/>
  <c r="P61" i="69"/>
  <c r="AE65" i="69"/>
  <c r="P48" i="69"/>
  <c r="AE52" i="69"/>
  <c r="P73" i="69"/>
  <c r="AE77" i="69"/>
  <c r="P42" i="69"/>
  <c r="T23" i="42"/>
  <c r="S64" i="42"/>
  <c r="Q43" i="42"/>
  <c r="H27" i="42"/>
  <c r="S31" i="42"/>
  <c r="T27" i="42"/>
  <c r="H17" i="42"/>
  <c r="L21" i="42"/>
  <c r="Q18" i="42"/>
  <c r="L47" i="42"/>
  <c r="J73" i="42"/>
  <c r="T77" i="42"/>
  <c r="T19" i="42"/>
  <c r="J56" i="42"/>
  <c r="B39" i="45"/>
  <c r="W64" i="45"/>
  <c r="G64" i="45"/>
  <c r="B54" i="45"/>
  <c r="P102" i="69"/>
  <c r="AE106" i="69"/>
  <c r="B12" i="69"/>
  <c r="V78" i="45"/>
  <c r="G78" i="45"/>
  <c r="P96" i="69"/>
  <c r="AE100" i="69"/>
  <c r="P36" i="69"/>
  <c r="AE40" i="69"/>
  <c r="P79" i="69"/>
  <c r="AE83" i="69"/>
  <c r="P52" i="69"/>
  <c r="AE56" i="69"/>
  <c r="P40" i="69"/>
  <c r="AE44" i="69"/>
  <c r="P22" i="69"/>
  <c r="AE26" i="69"/>
  <c r="P20" i="69"/>
  <c r="AE24" i="69"/>
  <c r="P44" i="69"/>
  <c r="AE48" i="69"/>
  <c r="P80" i="69"/>
  <c r="AE84" i="69"/>
  <c r="O70" i="69"/>
  <c r="N70" i="69"/>
  <c r="C59" i="45"/>
  <c r="P92" i="69"/>
  <c r="AE96" i="69"/>
  <c r="P18" i="69"/>
  <c r="AE22" i="69"/>
  <c r="P23" i="69"/>
  <c r="AE27" i="69"/>
  <c r="L19" i="42"/>
  <c r="H60" i="42"/>
  <c r="L60" i="42"/>
  <c r="L43" i="42"/>
  <c r="H16" i="42"/>
  <c r="T20" i="42"/>
  <c r="H69" i="42"/>
  <c r="T73" i="42"/>
  <c r="L27" i="42"/>
  <c r="J27" i="42"/>
  <c r="Q23" i="42"/>
  <c r="T21" i="42"/>
  <c r="J21" i="42"/>
  <c r="T25" i="42"/>
  <c r="Q20" i="42"/>
  <c r="S77" i="42"/>
  <c r="H73" i="42"/>
  <c r="J15" i="42"/>
  <c r="J29" i="42"/>
  <c r="S18" i="42"/>
  <c r="Q89" i="42"/>
  <c r="T66" i="42"/>
  <c r="B81" i="45"/>
  <c r="J42" i="42"/>
  <c r="B55" i="45"/>
  <c r="P55" i="69"/>
  <c r="AE59" i="69"/>
  <c r="I60" i="45"/>
  <c r="G60" i="45"/>
  <c r="H37" i="42"/>
  <c r="B105" i="45"/>
  <c r="J37" i="42"/>
  <c r="T46" i="42"/>
  <c r="B50" i="42"/>
  <c r="G51" i="45"/>
  <c r="B63" i="45"/>
  <c r="L37" i="42"/>
  <c r="B90" i="45"/>
  <c r="Q39" i="42"/>
  <c r="S41" i="42"/>
  <c r="B89" i="45"/>
  <c r="B98" i="45"/>
  <c r="T43" i="42"/>
  <c r="P86" i="69"/>
  <c r="AE90" i="69"/>
  <c r="B72" i="45"/>
  <c r="P35" i="69"/>
  <c r="AE39" i="69"/>
  <c r="J39" i="42"/>
  <c r="P75" i="69"/>
  <c r="AE79" i="69"/>
  <c r="P58" i="69"/>
  <c r="AE62" i="69"/>
  <c r="B84" i="45"/>
  <c r="P93" i="69"/>
  <c r="AE97" i="69"/>
  <c r="P17" i="69"/>
  <c r="AE21" i="69"/>
  <c r="P74" i="69"/>
  <c r="AE78" i="69"/>
  <c r="AC74" i="69"/>
  <c r="AA74" i="69"/>
  <c r="B99" i="45"/>
  <c r="P41" i="69"/>
  <c r="AE45" i="69"/>
  <c r="N86" i="69"/>
  <c r="P85" i="69"/>
  <c r="AE89" i="69"/>
  <c r="O58" i="69"/>
  <c r="Z62" i="69"/>
  <c r="P29" i="69"/>
  <c r="AE33" i="69"/>
  <c r="B106" i="45"/>
  <c r="P28" i="69"/>
  <c r="AE32" i="69"/>
  <c r="B94" i="45"/>
  <c r="B73" i="45"/>
  <c r="H19" i="42"/>
  <c r="Q22" i="42"/>
  <c r="J60" i="42"/>
  <c r="H43" i="42"/>
  <c r="H23" i="42"/>
  <c r="H21" i="42"/>
  <c r="J18" i="42"/>
  <c r="J20" i="42"/>
  <c r="H81" i="42"/>
  <c r="S60" i="42"/>
  <c r="H56" i="42"/>
  <c r="S66" i="42"/>
  <c r="H65" i="42"/>
  <c r="J80" i="42"/>
  <c r="C62" i="45"/>
  <c r="G62" i="45"/>
  <c r="L102" i="42"/>
  <c r="W50" i="45"/>
  <c r="G50" i="45"/>
  <c r="C65" i="45"/>
  <c r="G65" i="45"/>
  <c r="B102" i="45"/>
  <c r="X38" i="45"/>
  <c r="B43" i="45"/>
  <c r="H80" i="42"/>
  <c r="B86" i="45"/>
  <c r="U67" i="45"/>
  <c r="G67" i="45"/>
  <c r="P68" i="69"/>
  <c r="AE72" i="69"/>
  <c r="P72" i="69"/>
  <c r="AE76" i="69"/>
  <c r="B35" i="45"/>
  <c r="X40" i="45"/>
  <c r="P100" i="69"/>
  <c r="AE104" i="69"/>
  <c r="P34" i="69"/>
  <c r="AE38" i="69"/>
  <c r="P66" i="69"/>
  <c r="AE70" i="69"/>
  <c r="AB34" i="69"/>
  <c r="P30" i="69"/>
  <c r="AB92" i="69"/>
  <c r="P88" i="69"/>
  <c r="AB105" i="69"/>
  <c r="P101" i="69"/>
  <c r="AB50" i="69"/>
  <c r="P46" i="69"/>
  <c r="AB75" i="69"/>
  <c r="P71" i="69"/>
  <c r="P103" i="69"/>
  <c r="AB43" i="69"/>
  <c r="P39" i="69"/>
  <c r="AB42" i="69"/>
  <c r="P38" i="69"/>
  <c r="AB58" i="69"/>
  <c r="P54" i="69"/>
  <c r="M106" i="69"/>
  <c r="P106" i="69"/>
  <c r="AB19" i="69"/>
  <c r="P15" i="69"/>
  <c r="AB95" i="69"/>
  <c r="P91" i="69"/>
  <c r="AB35" i="69"/>
  <c r="P31" i="69"/>
  <c r="AB47" i="69"/>
  <c r="P43" i="69"/>
  <c r="AB73" i="69"/>
  <c r="P69" i="69"/>
  <c r="AB88" i="69"/>
  <c r="P84" i="69"/>
  <c r="AB86" i="69"/>
  <c r="P82" i="69"/>
  <c r="AB49" i="69"/>
  <c r="P45" i="69"/>
  <c r="AB93" i="69"/>
  <c r="P89" i="69"/>
  <c r="AB94" i="69"/>
  <c r="P90" i="69"/>
  <c r="L86" i="69"/>
  <c r="AB98" i="69"/>
  <c r="P94" i="69"/>
  <c r="AB30" i="69"/>
  <c r="P26" i="69"/>
  <c r="AB31" i="69"/>
  <c r="P27" i="69"/>
  <c r="AB36" i="69"/>
  <c r="P32" i="69"/>
  <c r="AB61" i="69"/>
  <c r="P57" i="69"/>
  <c r="AB99" i="69"/>
  <c r="P95" i="69"/>
  <c r="AB102" i="69"/>
  <c r="P98" i="69"/>
  <c r="M93" i="69"/>
  <c r="AB97" i="69"/>
  <c r="M17" i="69"/>
  <c r="AB21" i="69"/>
  <c r="M44" i="69"/>
  <c r="AB48" i="69"/>
  <c r="M16" i="69"/>
  <c r="AB20" i="69"/>
  <c r="M48" i="69"/>
  <c r="AB52" i="69"/>
  <c r="M102" i="69"/>
  <c r="AB106" i="69"/>
  <c r="M83" i="69"/>
  <c r="AB87" i="69"/>
  <c r="AA40" i="69"/>
  <c r="AB40" i="69"/>
  <c r="L79" i="69"/>
  <c r="AB83" i="69"/>
  <c r="Z44" i="69"/>
  <c r="AB44" i="69"/>
  <c r="M75" i="69"/>
  <c r="AB79" i="69"/>
  <c r="O75" i="69"/>
  <c r="M18" i="69"/>
  <c r="AB22" i="69"/>
  <c r="M61" i="69"/>
  <c r="AB65" i="69"/>
  <c r="M24" i="69"/>
  <c r="AB28" i="69"/>
  <c r="M19" i="69"/>
  <c r="AB23" i="69"/>
  <c r="L52" i="69"/>
  <c r="AB56" i="69"/>
  <c r="AB72" i="69"/>
  <c r="M86" i="69"/>
  <c r="AB90" i="69"/>
  <c r="M22" i="69"/>
  <c r="AB26" i="69"/>
  <c r="M20" i="69"/>
  <c r="AB24" i="69"/>
  <c r="M99" i="69"/>
  <c r="AB103" i="69"/>
  <c r="M41" i="69"/>
  <c r="AB45" i="69"/>
  <c r="AA90" i="69"/>
  <c r="M92" i="69"/>
  <c r="AB96" i="69"/>
  <c r="M85" i="69"/>
  <c r="AB89" i="69"/>
  <c r="M47" i="69"/>
  <c r="AB51" i="69"/>
  <c r="M21" i="69"/>
  <c r="AB25" i="69"/>
  <c r="M28" i="69"/>
  <c r="AB32" i="69"/>
  <c r="M23" i="69"/>
  <c r="AB27" i="69"/>
  <c r="AA59" i="69"/>
  <c r="AB59" i="69"/>
  <c r="M81" i="69"/>
  <c r="AB85" i="69"/>
  <c r="M100" i="69"/>
  <c r="AB104" i="69"/>
  <c r="M70" i="69"/>
  <c r="AB74" i="69"/>
  <c r="M74" i="69"/>
  <c r="AB78" i="69"/>
  <c r="M80" i="69"/>
  <c r="AB84" i="69"/>
  <c r="M25" i="69"/>
  <c r="AB29" i="69"/>
  <c r="M97" i="69"/>
  <c r="AB101" i="69"/>
  <c r="O86" i="69"/>
  <c r="M29" i="69"/>
  <c r="AB33" i="69"/>
  <c r="AD79" i="69"/>
  <c r="M73" i="69"/>
  <c r="AB77" i="69"/>
  <c r="AA82" i="69"/>
  <c r="AB82" i="69"/>
  <c r="AD100" i="69"/>
  <c r="AB100" i="69"/>
  <c r="AD67" i="69"/>
  <c r="AB67" i="69"/>
  <c r="M72" i="69"/>
  <c r="AB76" i="69"/>
  <c r="M35" i="69"/>
  <c r="AB39" i="69"/>
  <c r="W75" i="40"/>
  <c r="V80" i="40"/>
  <c r="U75" i="40"/>
  <c r="X79" i="45"/>
  <c r="X63" i="45"/>
  <c r="AA79" i="69"/>
  <c r="W78" i="45"/>
  <c r="Z79" i="69"/>
  <c r="K78" i="45"/>
  <c r="AC72" i="69"/>
  <c r="T37" i="42"/>
  <c r="P50" i="45"/>
  <c r="S55" i="42"/>
  <c r="L75" i="69"/>
  <c r="S75" i="42"/>
  <c r="L78" i="69"/>
  <c r="AA39" i="69"/>
  <c r="N75" i="69"/>
  <c r="AC79" i="69"/>
  <c r="X105" i="40"/>
  <c r="L72" i="69"/>
  <c r="V77" i="40"/>
  <c r="T75" i="42"/>
  <c r="W80" i="40"/>
  <c r="N78" i="45"/>
  <c r="U105" i="40"/>
  <c r="U95" i="40"/>
  <c r="Q78" i="42"/>
  <c r="O35" i="69"/>
  <c r="AD39" i="69"/>
  <c r="P60" i="45"/>
  <c r="X75" i="40"/>
  <c r="L35" i="69"/>
  <c r="Z39" i="69"/>
  <c r="N35" i="69"/>
  <c r="AC39" i="69"/>
  <c r="W84" i="40"/>
  <c r="S67" i="45"/>
  <c r="X84" i="40"/>
  <c r="AD90" i="69"/>
  <c r="L100" i="69"/>
  <c r="AD104" i="69"/>
  <c r="X75" i="45"/>
  <c r="X57" i="40"/>
  <c r="U84" i="40"/>
  <c r="Z90" i="69"/>
  <c r="AC90" i="69"/>
  <c r="Z104" i="69"/>
  <c r="X72" i="45"/>
  <c r="N63" i="69"/>
  <c r="AC76" i="69"/>
  <c r="S37" i="42"/>
  <c r="Q78" i="45"/>
  <c r="M50" i="45"/>
  <c r="J51" i="42"/>
  <c r="O78" i="45"/>
  <c r="X100" i="45"/>
  <c r="W105" i="40"/>
  <c r="V105" i="40"/>
  <c r="S62" i="45"/>
  <c r="AA44" i="69"/>
  <c r="W73" i="40"/>
  <c r="Z76" i="69"/>
  <c r="N72" i="69"/>
  <c r="W77" i="40"/>
  <c r="J33" i="42"/>
  <c r="V59" i="40"/>
  <c r="J71" i="42"/>
  <c r="T82" i="42"/>
  <c r="Q98" i="42"/>
  <c r="X60" i="40"/>
  <c r="L82" i="42"/>
  <c r="X95" i="40"/>
  <c r="P78" i="45"/>
  <c r="I78" i="45"/>
  <c r="U78" i="45"/>
  <c r="U50" i="45"/>
  <c r="V50" i="45"/>
  <c r="B51" i="40"/>
  <c r="T55" i="42"/>
  <c r="H51" i="42"/>
  <c r="B77" i="42"/>
  <c r="W87" i="45"/>
  <c r="W113" i="45" s="1"/>
  <c r="K87" i="45"/>
  <c r="K113" i="45" s="1"/>
  <c r="AD76" i="69"/>
  <c r="Q33" i="42"/>
  <c r="L51" i="42"/>
  <c r="Q37" i="42"/>
  <c r="O50" i="45"/>
  <c r="U77" i="40"/>
  <c r="V73" i="40"/>
  <c r="I87" i="45"/>
  <c r="I113" i="45" s="1"/>
  <c r="O96" i="69"/>
  <c r="O72" i="69"/>
  <c r="H33" i="42"/>
  <c r="L33" i="42"/>
  <c r="H71" i="42"/>
  <c r="M78" i="45"/>
  <c r="L78" i="45"/>
  <c r="S50" i="45"/>
  <c r="Q50" i="45"/>
  <c r="S78" i="45"/>
  <c r="B79" i="40"/>
  <c r="R79" i="40" s="1"/>
  <c r="X52" i="45"/>
  <c r="U59" i="45"/>
  <c r="W103" i="40"/>
  <c r="Q67" i="45"/>
  <c r="O59" i="45"/>
  <c r="X98" i="45"/>
  <c r="X90" i="45"/>
  <c r="X68" i="45"/>
  <c r="O79" i="69"/>
  <c r="AA85" i="69"/>
  <c r="M94" i="69"/>
  <c r="O15" i="69"/>
  <c r="M15" i="69"/>
  <c r="AA35" i="69"/>
  <c r="M31" i="69"/>
  <c r="AC50" i="69"/>
  <c r="M46" i="69"/>
  <c r="L43" i="69"/>
  <c r="M43" i="69"/>
  <c r="M103" i="69"/>
  <c r="L26" i="69"/>
  <c r="M26" i="69"/>
  <c r="AC36" i="69"/>
  <c r="M32" i="69"/>
  <c r="Z49" i="69"/>
  <c r="M45" i="69"/>
  <c r="Z61" i="69"/>
  <c r="M57" i="69"/>
  <c r="N55" i="69"/>
  <c r="M55" i="69"/>
  <c r="L36" i="69"/>
  <c r="M36" i="69"/>
  <c r="Z83" i="69"/>
  <c r="M79" i="69"/>
  <c r="N36" i="69"/>
  <c r="AD83" i="69"/>
  <c r="AA92" i="69"/>
  <c r="M88" i="69"/>
  <c r="Z95" i="69"/>
  <c r="M91" i="69"/>
  <c r="AA86" i="69"/>
  <c r="M82" i="69"/>
  <c r="M95" i="69"/>
  <c r="N105" i="69"/>
  <c r="M105" i="69"/>
  <c r="M54" i="69"/>
  <c r="Z94" i="69"/>
  <c r="M90" i="69"/>
  <c r="Z56" i="69"/>
  <c r="M52" i="69"/>
  <c r="AC105" i="69"/>
  <c r="M101" i="69"/>
  <c r="O38" i="69"/>
  <c r="M38" i="69"/>
  <c r="O89" i="69"/>
  <c r="M89" i="69"/>
  <c r="AD40" i="69"/>
  <c r="M30" i="69"/>
  <c r="N27" i="69"/>
  <c r="M27" i="69"/>
  <c r="AC88" i="69"/>
  <c r="M84" i="69"/>
  <c r="AC75" i="69"/>
  <c r="M71" i="69"/>
  <c r="AA73" i="69"/>
  <c r="M69" i="69"/>
  <c r="O78" i="69"/>
  <c r="M78" i="69"/>
  <c r="AC43" i="69"/>
  <c r="M39" i="69"/>
  <c r="AD102" i="69"/>
  <c r="M98" i="69"/>
  <c r="N96" i="69"/>
  <c r="M96" i="69"/>
  <c r="AA72" i="69"/>
  <c r="M68" i="69"/>
  <c r="AD44" i="69"/>
  <c r="M40" i="69"/>
  <c r="AC67" i="69"/>
  <c r="M63" i="69"/>
  <c r="AC40" i="69"/>
  <c r="Z105" i="69"/>
  <c r="AC83" i="69"/>
  <c r="AD56" i="69"/>
  <c r="N79" i="69"/>
  <c r="O90" i="69"/>
  <c r="Z59" i="69"/>
  <c r="L89" i="69"/>
  <c r="AD82" i="69"/>
  <c r="L40" i="69"/>
  <c r="L96" i="69"/>
  <c r="AA100" i="69"/>
  <c r="N68" i="69"/>
  <c r="AD72" i="69"/>
  <c r="L63" i="69"/>
  <c r="AA67" i="69"/>
  <c r="Z82" i="69"/>
  <c r="O98" i="69"/>
  <c r="O40" i="69"/>
  <c r="N40" i="69"/>
  <c r="AC100" i="69"/>
  <c r="L68" i="69"/>
  <c r="Z72" i="69"/>
  <c r="Z67" i="69"/>
  <c r="O63" i="69"/>
  <c r="AC82" i="69"/>
  <c r="L98" i="69"/>
  <c r="AC44" i="69"/>
  <c r="Z100" i="69"/>
  <c r="O68" i="69"/>
  <c r="U77" i="45"/>
  <c r="W77" i="45"/>
  <c r="T72" i="42"/>
  <c r="L72" i="42"/>
  <c r="O56" i="45"/>
  <c r="L56" i="45"/>
  <c r="Q56" i="45"/>
  <c r="S49" i="42"/>
  <c r="J45" i="42"/>
  <c r="S92" i="42"/>
  <c r="N83" i="69"/>
  <c r="B66" i="42"/>
  <c r="M67" i="45"/>
  <c r="O67" i="45"/>
  <c r="B68" i="40"/>
  <c r="P67" i="45"/>
  <c r="C67" i="45"/>
  <c r="V103" i="40"/>
  <c r="U103" i="40"/>
  <c r="S71" i="42"/>
  <c r="L71" i="42"/>
  <c r="J67" i="42"/>
  <c r="H67" i="42"/>
  <c r="Q71" i="42"/>
  <c r="AD85" i="69"/>
  <c r="L81" i="69"/>
  <c r="O81" i="69"/>
  <c r="U68" i="40"/>
  <c r="V67" i="45"/>
  <c r="I67" i="45"/>
  <c r="Z85" i="69"/>
  <c r="U86" i="40"/>
  <c r="X103" i="40"/>
  <c r="S51" i="45"/>
  <c r="K67" i="45"/>
  <c r="N81" i="69"/>
  <c r="W67" i="45"/>
  <c r="L67" i="45"/>
  <c r="N67" i="45"/>
  <c r="AC85" i="69"/>
  <c r="V68" i="40"/>
  <c r="T71" i="42"/>
  <c r="J100" i="42"/>
  <c r="T104" i="42"/>
  <c r="B61" i="42"/>
  <c r="O62" i="45"/>
  <c r="W62" i="45"/>
  <c r="J83" i="42"/>
  <c r="S87" i="42"/>
  <c r="AC42" i="69"/>
  <c r="X36" i="45"/>
  <c r="Z40" i="69"/>
  <c r="O36" i="69"/>
  <c r="S82" i="42"/>
  <c r="H78" i="42"/>
  <c r="L78" i="42"/>
  <c r="J78" i="42"/>
  <c r="AA83" i="69"/>
  <c r="X73" i="40"/>
  <c r="W95" i="40"/>
  <c r="V95" i="40"/>
  <c r="X88" i="45"/>
  <c r="W59" i="45"/>
  <c r="AD94" i="69"/>
  <c r="X31" i="45"/>
  <c r="X81" i="45"/>
  <c r="X103" i="45"/>
  <c r="X105" i="45"/>
  <c r="X34" i="45"/>
  <c r="V63" i="40"/>
  <c r="X41" i="40"/>
  <c r="O52" i="69"/>
  <c r="AC56" i="69"/>
  <c r="W57" i="40"/>
  <c r="K64" i="45"/>
  <c r="S59" i="45"/>
  <c r="K59" i="45"/>
  <c r="M59" i="45"/>
  <c r="B60" i="40"/>
  <c r="N90" i="69"/>
  <c r="AC94" i="69"/>
  <c r="W63" i="40"/>
  <c r="W41" i="40"/>
  <c r="V57" i="40"/>
  <c r="U63" i="40"/>
  <c r="N52" i="69"/>
  <c r="AA56" i="69"/>
  <c r="U57" i="40"/>
  <c r="C64" i="45"/>
  <c r="AC58" i="69"/>
  <c r="V59" i="45"/>
  <c r="N59" i="45"/>
  <c r="U41" i="40"/>
  <c r="AA94" i="69"/>
  <c r="X45" i="45"/>
  <c r="X86" i="45"/>
  <c r="X43" i="45"/>
  <c r="X63" i="40"/>
  <c r="AD99" i="69"/>
  <c r="M64" i="45"/>
  <c r="Z58" i="69"/>
  <c r="L59" i="45"/>
  <c r="P59" i="45"/>
  <c r="Q59" i="45"/>
  <c r="I59" i="45"/>
  <c r="L90" i="69"/>
  <c r="L50" i="45"/>
  <c r="Q31" i="42"/>
  <c r="X58" i="45"/>
  <c r="O103" i="69"/>
  <c r="N98" i="69"/>
  <c r="W51" i="45"/>
  <c r="K62" i="45"/>
  <c r="I62" i="45"/>
  <c r="Q62" i="45"/>
  <c r="M62" i="45"/>
  <c r="I51" i="45"/>
  <c r="Q51" i="45"/>
  <c r="N49" i="45"/>
  <c r="P77" i="45"/>
  <c r="M60" i="45"/>
  <c r="V62" i="45"/>
  <c r="P62" i="45"/>
  <c r="C51" i="45"/>
  <c r="W106" i="40"/>
  <c r="S61" i="42"/>
  <c r="K77" i="45"/>
  <c r="X83" i="45"/>
  <c r="L103" i="69"/>
  <c r="L39" i="69"/>
  <c r="AC102" i="69"/>
  <c r="AA102" i="69"/>
  <c r="AD43" i="69"/>
  <c r="Z102" i="69"/>
  <c r="U62" i="45"/>
  <c r="L62" i="45"/>
  <c r="N62" i="45"/>
  <c r="B63" i="40"/>
  <c r="O51" i="45"/>
  <c r="P51" i="45"/>
  <c r="X89" i="40"/>
  <c r="J57" i="42"/>
  <c r="X86" i="40"/>
  <c r="W60" i="45"/>
  <c r="J104" i="42"/>
  <c r="H104" i="42"/>
  <c r="O54" i="69"/>
  <c r="N54" i="69"/>
  <c r="L54" i="69"/>
  <c r="AD61" i="69"/>
  <c r="L105" i="69"/>
  <c r="AA58" i="69"/>
  <c r="AD58" i="69"/>
  <c r="Z73" i="69"/>
  <c r="U76" i="40"/>
  <c r="U91" i="40"/>
  <c r="X76" i="40"/>
  <c r="U43" i="40"/>
  <c r="W60" i="40"/>
  <c r="W76" i="40"/>
  <c r="V60" i="40"/>
  <c r="V91" i="40"/>
  <c r="V88" i="40"/>
  <c r="V76" i="40"/>
  <c r="U48" i="40"/>
  <c r="U60" i="40"/>
  <c r="V39" i="40"/>
  <c r="X55" i="45"/>
  <c r="N38" i="69"/>
  <c r="S87" i="45"/>
  <c r="S113" i="45" s="1"/>
  <c r="O83" i="69"/>
  <c r="J88" i="42"/>
  <c r="H88" i="42"/>
  <c r="U50" i="40"/>
  <c r="L38" i="69"/>
  <c r="AD42" i="69"/>
  <c r="V64" i="45"/>
  <c r="L64" i="45"/>
  <c r="I64" i="45"/>
  <c r="N64" i="45"/>
  <c r="N57" i="69"/>
  <c r="O87" i="45"/>
  <c r="O113" i="45" s="1"/>
  <c r="B88" i="40"/>
  <c r="R84" i="40" s="1"/>
  <c r="L55" i="69"/>
  <c r="L51" i="45"/>
  <c r="U51" i="45"/>
  <c r="B52" i="40"/>
  <c r="L49" i="45"/>
  <c r="Z87" i="69"/>
  <c r="Z47" i="69"/>
  <c r="N89" i="69"/>
  <c r="V106" i="40"/>
  <c r="B63" i="42"/>
  <c r="T92" i="42"/>
  <c r="Q97" i="42"/>
  <c r="L88" i="42"/>
  <c r="I77" i="45"/>
  <c r="N77" i="45"/>
  <c r="W68" i="40"/>
  <c r="B61" i="40"/>
  <c r="S105" i="42"/>
  <c r="Q60" i="45"/>
  <c r="N60" i="45"/>
  <c r="W86" i="40"/>
  <c r="W65" i="45"/>
  <c r="Q57" i="42"/>
  <c r="W56" i="45"/>
  <c r="U88" i="40"/>
  <c r="Z42" i="69"/>
  <c r="S64" i="45"/>
  <c r="B65" i="40"/>
  <c r="U39" i="40"/>
  <c r="N87" i="45"/>
  <c r="N113" i="45" s="1"/>
  <c r="X39" i="40"/>
  <c r="L34" i="42"/>
  <c r="W88" i="40"/>
  <c r="C60" i="45"/>
  <c r="U60" i="45"/>
  <c r="S65" i="45"/>
  <c r="U65" i="45"/>
  <c r="O60" i="45"/>
  <c r="AA42" i="69"/>
  <c r="Z43" i="69"/>
  <c r="O64" i="45"/>
  <c r="U64" i="45"/>
  <c r="Q64" i="45"/>
  <c r="P64" i="45"/>
  <c r="AA61" i="69"/>
  <c r="L87" i="45"/>
  <c r="L113" i="45" s="1"/>
  <c r="O55" i="69"/>
  <c r="V51" i="45"/>
  <c r="K51" i="45"/>
  <c r="N51" i="45"/>
  <c r="M51" i="45"/>
  <c r="AD47" i="69"/>
  <c r="AC47" i="69"/>
  <c r="AC93" i="69"/>
  <c r="W50" i="40"/>
  <c r="L98" i="42"/>
  <c r="H57" i="42"/>
  <c r="B48" i="42"/>
  <c r="V60" i="45"/>
  <c r="J87" i="42"/>
  <c r="H31" i="42"/>
  <c r="L44" i="42"/>
  <c r="AC106" i="69"/>
  <c r="AD106" i="69"/>
  <c r="O102" i="69"/>
  <c r="Z106" i="69"/>
  <c r="L102" i="69"/>
  <c r="H44" i="42"/>
  <c r="J44" i="42"/>
  <c r="V94" i="40"/>
  <c r="W94" i="40"/>
  <c r="X94" i="40"/>
  <c r="U94" i="40"/>
  <c r="Q12" i="45"/>
  <c r="X43" i="40"/>
  <c r="H30" i="42"/>
  <c r="AA43" i="69"/>
  <c r="AD87" i="69"/>
  <c r="B11" i="42"/>
  <c r="V48" i="40"/>
  <c r="V43" i="40"/>
  <c r="N46" i="69"/>
  <c r="U87" i="45"/>
  <c r="U113" i="45" s="1"/>
  <c r="S49" i="45"/>
  <c r="AA47" i="69"/>
  <c r="X59" i="40"/>
  <c r="W59" i="40"/>
  <c r="Y69" i="69"/>
  <c r="N78" i="69"/>
  <c r="O105" i="69"/>
  <c r="N95" i="69"/>
  <c r="U106" i="40"/>
  <c r="N39" i="69"/>
  <c r="V87" i="45"/>
  <c r="V113" i="45" s="1"/>
  <c r="M87" i="45"/>
  <c r="M113" i="45" s="1"/>
  <c r="V49" i="45"/>
  <c r="AC87" i="69"/>
  <c r="N43" i="69"/>
  <c r="AA93" i="69"/>
  <c r="X106" i="40"/>
  <c r="V77" i="45"/>
  <c r="M77" i="45"/>
  <c r="P65" i="45"/>
  <c r="L65" i="45"/>
  <c r="B66" i="40"/>
  <c r="M56" i="45"/>
  <c r="X102" i="45"/>
  <c r="Q34" i="42"/>
  <c r="Q49" i="45"/>
  <c r="AA87" i="69"/>
  <c r="AD93" i="69"/>
  <c r="U59" i="40"/>
  <c r="AA50" i="69"/>
  <c r="P49" i="45"/>
  <c r="O39" i="69"/>
  <c r="P87" i="45"/>
  <c r="P113" i="45" s="1"/>
  <c r="M49" i="45"/>
  <c r="O43" i="69"/>
  <c r="Z93" i="69"/>
  <c r="L95" i="69"/>
  <c r="Q87" i="45"/>
  <c r="Q113" i="45" s="1"/>
  <c r="U49" i="45"/>
  <c r="B50" i="40"/>
  <c r="L83" i="69"/>
  <c r="N69" i="69"/>
  <c r="P12" i="45"/>
  <c r="X57" i="45"/>
  <c r="AC99" i="69"/>
  <c r="N45" i="69"/>
  <c r="Q72" i="42"/>
  <c r="H68" i="42"/>
  <c r="J68" i="42"/>
  <c r="T49" i="42"/>
  <c r="W71" i="40"/>
  <c r="Q102" i="42"/>
  <c r="X107" i="40"/>
  <c r="O95" i="69"/>
  <c r="AC59" i="69"/>
  <c r="S101" i="42"/>
  <c r="Q87" i="42"/>
  <c r="Q94" i="42"/>
  <c r="L94" i="42"/>
  <c r="U107" i="40"/>
  <c r="O57" i="69"/>
  <c r="AD59" i="69"/>
  <c r="W107" i="40"/>
  <c r="L101" i="42"/>
  <c r="L87" i="42"/>
  <c r="T35" i="42"/>
  <c r="L35" i="42"/>
  <c r="W48" i="40"/>
  <c r="W51" i="40"/>
  <c r="J97" i="42"/>
  <c r="T101" i="42"/>
  <c r="L97" i="42"/>
  <c r="N103" i="69"/>
  <c r="H70" i="42"/>
  <c r="T74" i="42"/>
  <c r="J70" i="42"/>
  <c r="L69" i="69"/>
  <c r="AD73" i="69"/>
  <c r="O69" i="69"/>
  <c r="T105" i="42"/>
  <c r="J101" i="42"/>
  <c r="L105" i="42"/>
  <c r="H101" i="42"/>
  <c r="AC73" i="69"/>
  <c r="Q101" i="42"/>
  <c r="Z36" i="69"/>
  <c r="AD36" i="69"/>
  <c r="W91" i="40"/>
  <c r="X91" i="40"/>
  <c r="L74" i="42"/>
  <c r="S74" i="42"/>
  <c r="S58" i="42"/>
  <c r="H54" i="42"/>
  <c r="T58" i="42"/>
  <c r="J54" i="42"/>
  <c r="T91" i="42"/>
  <c r="S91" i="42"/>
  <c r="L91" i="42"/>
  <c r="Q91" i="42"/>
  <c r="X71" i="40"/>
  <c r="U71" i="40"/>
  <c r="H45" i="42"/>
  <c r="X50" i="40"/>
  <c r="Z99" i="69"/>
  <c r="L57" i="69"/>
  <c r="O49" i="45"/>
  <c r="I49" i="45"/>
  <c r="AA106" i="69"/>
  <c r="L31" i="42"/>
  <c r="W49" i="45"/>
  <c r="T87" i="42"/>
  <c r="L30" i="42"/>
  <c r="J31" i="42"/>
  <c r="P53" i="45"/>
  <c r="I53" i="45"/>
  <c r="B52" i="42"/>
  <c r="Q53" i="45"/>
  <c r="C53" i="45"/>
  <c r="K53" i="45"/>
  <c r="M53" i="45"/>
  <c r="S53" i="45"/>
  <c r="U53" i="45"/>
  <c r="N53" i="45"/>
  <c r="V53" i="45"/>
  <c r="L53" i="45"/>
  <c r="B54" i="40"/>
  <c r="O53" i="45"/>
  <c r="B55" i="42"/>
  <c r="K56" i="45"/>
  <c r="P56" i="45"/>
  <c r="I56" i="45"/>
  <c r="U56" i="45"/>
  <c r="C56" i="45"/>
  <c r="N56" i="45"/>
  <c r="B57" i="40"/>
  <c r="V56" i="45"/>
  <c r="AA99" i="69"/>
  <c r="AC61" i="69"/>
  <c r="K49" i="45"/>
  <c r="N102" i="69"/>
  <c r="Q30" i="42"/>
  <c r="Q38" i="42"/>
  <c r="S35" i="42"/>
  <c r="B49" i="42"/>
  <c r="C50" i="45"/>
  <c r="K50" i="45"/>
  <c r="I50" i="45"/>
  <c r="T98" i="42"/>
  <c r="H94" i="42"/>
  <c r="J94" i="42"/>
  <c r="B59" i="42"/>
  <c r="K60" i="45"/>
  <c r="S60" i="45"/>
  <c r="L60" i="45"/>
  <c r="T34" i="42"/>
  <c r="S34" i="42"/>
  <c r="S57" i="42"/>
  <c r="H53" i="42"/>
  <c r="J53" i="42"/>
  <c r="T57" i="42"/>
  <c r="T48" i="42"/>
  <c r="S48" i="42"/>
  <c r="X48" i="40"/>
  <c r="C49" i="45"/>
  <c r="L57" i="42"/>
  <c r="H83" i="42"/>
  <c r="S72" i="42"/>
  <c r="S77" i="45"/>
  <c r="L77" i="45"/>
  <c r="O77" i="45"/>
  <c r="B78" i="40"/>
  <c r="R78" i="40" s="1"/>
  <c r="B76" i="42"/>
  <c r="Q77" i="45"/>
  <c r="J102" i="42"/>
  <c r="H102" i="42"/>
  <c r="K65" i="45"/>
  <c r="V65" i="45"/>
  <c r="O65" i="45"/>
  <c r="B64" i="42"/>
  <c r="N65" i="45"/>
  <c r="Q65" i="45"/>
  <c r="I65" i="45"/>
  <c r="M65" i="45"/>
  <c r="B32" i="42"/>
  <c r="M33" i="45"/>
  <c r="O33" i="45"/>
  <c r="V33" i="45"/>
  <c r="N33" i="45"/>
  <c r="P33" i="45"/>
  <c r="U33" i="45"/>
  <c r="S33" i="45"/>
  <c r="C33" i="45"/>
  <c r="K33" i="45"/>
  <c r="B34" i="40"/>
  <c r="B110" i="40" s="1"/>
  <c r="Q33" i="45"/>
  <c r="I33" i="45"/>
  <c r="L33" i="45"/>
  <c r="Q44" i="42"/>
  <c r="S104" i="42"/>
  <c r="Q104" i="42"/>
  <c r="S42" i="42"/>
  <c r="J38" i="42"/>
  <c r="Q100" i="42"/>
  <c r="H38" i="42"/>
  <c r="H100" i="42"/>
  <c r="L38" i="42"/>
  <c r="L42" i="42"/>
  <c r="L104" i="42"/>
  <c r="Q42" i="42"/>
  <c r="AD95" i="69"/>
  <c r="Z50" i="69"/>
  <c r="L32" i="69"/>
  <c r="O32" i="69"/>
  <c r="AA36" i="69"/>
  <c r="L31" i="69"/>
  <c r="N32" i="69"/>
  <c r="AA95" i="69"/>
  <c r="O71" i="69"/>
  <c r="N71" i="69"/>
  <c r="L45" i="69"/>
  <c r="AA75" i="69"/>
  <c r="O45" i="69"/>
  <c r="L71" i="69"/>
  <c r="AC49" i="69"/>
  <c r="O31" i="69"/>
  <c r="AD75" i="69"/>
  <c r="AD49" i="69"/>
  <c r="AC35" i="69"/>
  <c r="Z75" i="69"/>
  <c r="AA49" i="69"/>
  <c r="AD35" i="69"/>
  <c r="U87" i="40"/>
  <c r="W44" i="40"/>
  <c r="U37" i="40"/>
  <c r="V87" i="40"/>
  <c r="X87" i="40"/>
  <c r="W87" i="40"/>
  <c r="X36" i="40"/>
  <c r="U44" i="40"/>
  <c r="V44" i="40"/>
  <c r="X44" i="40"/>
  <c r="W37" i="40"/>
  <c r="W100" i="40"/>
  <c r="X37" i="40"/>
  <c r="U36" i="40"/>
  <c r="X62" i="40"/>
  <c r="V37" i="40"/>
  <c r="X100" i="40"/>
  <c r="U74" i="40"/>
  <c r="W36" i="40"/>
  <c r="X69" i="45"/>
  <c r="X101" i="45"/>
  <c r="X71" i="45"/>
  <c r="X95" i="45"/>
  <c r="X32" i="45"/>
  <c r="X46" i="45"/>
  <c r="X66" i="45"/>
  <c r="X39" i="45"/>
  <c r="X84" i="45"/>
  <c r="X82" i="45"/>
  <c r="X91" i="45"/>
  <c r="O46" i="69"/>
  <c r="Z35" i="69"/>
  <c r="U100" i="40"/>
  <c r="V51" i="40"/>
  <c r="L46" i="69"/>
  <c r="AD88" i="69"/>
  <c r="U51" i="40"/>
  <c r="AD50" i="69"/>
  <c r="AD105" i="69"/>
  <c r="N31" i="69"/>
  <c r="X51" i="40"/>
  <c r="AD92" i="69"/>
  <c r="N84" i="69"/>
  <c r="L101" i="69"/>
  <c r="L82" i="69"/>
  <c r="L88" i="69"/>
  <c r="AA88" i="69"/>
  <c r="N91" i="69"/>
  <c r="L91" i="69"/>
  <c r="O91" i="69"/>
  <c r="AC95" i="69"/>
  <c r="U93" i="40"/>
  <c r="V93" i="40"/>
  <c r="X93" i="40"/>
  <c r="W96" i="40"/>
  <c r="L84" i="69"/>
  <c r="V89" i="40"/>
  <c r="O82" i="69"/>
  <c r="X74" i="40"/>
  <c r="U62" i="40"/>
  <c r="N82" i="69"/>
  <c r="AA105" i="69"/>
  <c r="AC92" i="69"/>
  <c r="W89" i="40"/>
  <c r="W62" i="40"/>
  <c r="AC86" i="69"/>
  <c r="U96" i="40"/>
  <c r="Z86" i="69"/>
  <c r="N101" i="69"/>
  <c r="Z88" i="69"/>
  <c r="O101" i="69"/>
  <c r="O88" i="69"/>
  <c r="N88" i="69"/>
  <c r="AD86" i="69"/>
  <c r="X96" i="40"/>
  <c r="V62" i="40"/>
  <c r="O84" i="69"/>
  <c r="Z92" i="69"/>
  <c r="U89" i="40"/>
  <c r="V74" i="40"/>
  <c r="W74" i="40"/>
  <c r="V96" i="40"/>
  <c r="AD31" i="69"/>
  <c r="X97" i="45"/>
  <c r="AA31" i="69"/>
  <c r="W32" i="40"/>
  <c r="Z31" i="69"/>
  <c r="AC31" i="69"/>
  <c r="X20" i="40"/>
  <c r="Q88" i="42"/>
  <c r="AC30" i="69"/>
  <c r="X29" i="45"/>
  <c r="U32" i="40"/>
  <c r="Z19" i="69"/>
  <c r="V32" i="40"/>
  <c r="U20" i="40"/>
  <c r="L27" i="69"/>
  <c r="O27" i="69"/>
  <c r="X32" i="40"/>
  <c r="W20" i="40"/>
  <c r="N15" i="69"/>
  <c r="AA19" i="69"/>
  <c r="X74" i="45"/>
  <c r="AA30" i="69"/>
  <c r="Z30" i="69"/>
  <c r="AD30" i="69"/>
  <c r="L15" i="69"/>
  <c r="O26" i="69"/>
  <c r="AD19" i="69"/>
  <c r="AC19" i="69"/>
  <c r="N26" i="69"/>
  <c r="B13" i="42"/>
  <c r="P14" i="45"/>
  <c r="K14" i="45"/>
  <c r="B14" i="69"/>
  <c r="K14" i="69" s="1"/>
  <c r="O14" i="45"/>
  <c r="L14" i="45"/>
  <c r="N14" i="45"/>
  <c r="Q14" i="45"/>
  <c r="B15" i="40"/>
  <c r="M14" i="45"/>
  <c r="T100" i="42"/>
  <c r="Q96" i="42"/>
  <c r="S100" i="42"/>
  <c r="L96" i="42"/>
  <c r="J96" i="42"/>
  <c r="H96" i="42"/>
  <c r="T88" i="42"/>
  <c r="L84" i="42"/>
  <c r="Q84" i="42"/>
  <c r="S88" i="42"/>
  <c r="H84" i="42"/>
  <c r="J84" i="42"/>
  <c r="J25" i="42"/>
  <c r="S29" i="42"/>
  <c r="L25" i="42"/>
  <c r="Q25" i="42"/>
  <c r="T29" i="42"/>
  <c r="H25" i="42"/>
  <c r="S32" i="42"/>
  <c r="T32" i="42"/>
  <c r="Q28" i="42"/>
  <c r="L28" i="42"/>
  <c r="H28" i="42"/>
  <c r="J28" i="42"/>
  <c r="X92" i="45"/>
  <c r="T83" i="42"/>
  <c r="H79" i="42"/>
  <c r="S83" i="42"/>
  <c r="J79" i="42"/>
  <c r="Q83" i="42"/>
  <c r="L83" i="42"/>
  <c r="T50" i="42"/>
  <c r="S50" i="42"/>
  <c r="H46" i="42"/>
  <c r="L46" i="42"/>
  <c r="Q46" i="42"/>
  <c r="J46" i="42"/>
  <c r="L100" i="42"/>
  <c r="T96" i="42"/>
  <c r="L92" i="42"/>
  <c r="Q92" i="42"/>
  <c r="S96" i="42"/>
  <c r="J92" i="42"/>
  <c r="H92" i="42"/>
  <c r="Q29" i="42"/>
  <c r="AA46" i="69"/>
  <c r="X99" i="45"/>
  <c r="X94" i="45"/>
  <c r="X73" i="45"/>
  <c r="U26" i="40"/>
  <c r="X26" i="40"/>
  <c r="W26" i="40"/>
  <c r="V26" i="40"/>
  <c r="AA24" i="69"/>
  <c r="Z24" i="69"/>
  <c r="AC24" i="69"/>
  <c r="AD24" i="69"/>
  <c r="N20" i="69"/>
  <c r="L20" i="69"/>
  <c r="O20" i="69"/>
  <c r="U46" i="40"/>
  <c r="V46" i="40"/>
  <c r="X46" i="40"/>
  <c r="W46" i="40"/>
  <c r="U102" i="40"/>
  <c r="W102" i="40"/>
  <c r="V102" i="40"/>
  <c r="X102" i="40"/>
  <c r="Z25" i="69"/>
  <c r="AA25" i="69"/>
  <c r="AC25" i="69"/>
  <c r="AD25" i="69"/>
  <c r="O21" i="69"/>
  <c r="L21" i="69"/>
  <c r="N21" i="69"/>
  <c r="U79" i="40"/>
  <c r="V79" i="40"/>
  <c r="W79" i="40"/>
  <c r="X79" i="40"/>
  <c r="U104" i="40"/>
  <c r="V104" i="40"/>
  <c r="W104" i="40"/>
  <c r="X104" i="40"/>
  <c r="U90" i="40"/>
  <c r="W90" i="40"/>
  <c r="X90" i="40"/>
  <c r="V90" i="40"/>
  <c r="U78" i="40"/>
  <c r="X78" i="40"/>
  <c r="V78" i="40"/>
  <c r="W78" i="40"/>
  <c r="U85" i="40"/>
  <c r="X85" i="40"/>
  <c r="W85" i="40"/>
  <c r="V85" i="40"/>
  <c r="AC103" i="69"/>
  <c r="AA103" i="69"/>
  <c r="Z103" i="69"/>
  <c r="AD103" i="69"/>
  <c r="O99" i="69"/>
  <c r="L99" i="69"/>
  <c r="N99" i="69"/>
  <c r="AC89" i="69"/>
  <c r="AA89" i="69"/>
  <c r="AD89" i="69"/>
  <c r="Z89" i="69"/>
  <c r="O85" i="69"/>
  <c r="L85" i="69"/>
  <c r="N85" i="69"/>
  <c r="U33" i="40"/>
  <c r="W33" i="40"/>
  <c r="X33" i="40"/>
  <c r="V33" i="40"/>
  <c r="U99" i="40"/>
  <c r="W99" i="40"/>
  <c r="X99" i="40"/>
  <c r="V99" i="40"/>
  <c r="U49" i="40"/>
  <c r="W49" i="40"/>
  <c r="X49" i="40"/>
  <c r="V49" i="40"/>
  <c r="AA29" i="69"/>
  <c r="Z29" i="69"/>
  <c r="AC29" i="69"/>
  <c r="AD29" i="69"/>
  <c r="L25" i="69"/>
  <c r="O25" i="69"/>
  <c r="N25" i="69"/>
  <c r="N106" i="69"/>
  <c r="L106" i="69"/>
  <c r="O106" i="69"/>
  <c r="AA21" i="69"/>
  <c r="Z21" i="69"/>
  <c r="AC21" i="69"/>
  <c r="AD21" i="69"/>
  <c r="L17" i="69"/>
  <c r="N17" i="69"/>
  <c r="O17" i="69"/>
  <c r="AD27" i="69"/>
  <c r="Z27" i="69"/>
  <c r="AA27" i="69"/>
  <c r="AC27" i="69"/>
  <c r="N23" i="69"/>
  <c r="L23" i="69"/>
  <c r="O23" i="69"/>
  <c r="X80" i="45"/>
  <c r="AD45" i="69"/>
  <c r="Z45" i="69"/>
  <c r="L41" i="69"/>
  <c r="AC45" i="69"/>
  <c r="AA45" i="69"/>
  <c r="O41" i="69"/>
  <c r="N41" i="69"/>
  <c r="U66" i="40"/>
  <c r="W66" i="40"/>
  <c r="V66" i="40"/>
  <c r="X66" i="40"/>
  <c r="AA77" i="69"/>
  <c r="AC77" i="69"/>
  <c r="L73" i="69"/>
  <c r="AD77" i="69"/>
  <c r="Z77" i="69"/>
  <c r="O73" i="69"/>
  <c r="N73" i="69"/>
  <c r="U30" i="40"/>
  <c r="X30" i="40"/>
  <c r="V30" i="40"/>
  <c r="W30" i="40"/>
  <c r="O94" i="69"/>
  <c r="N94" i="69"/>
  <c r="AC98" i="69"/>
  <c r="Z98" i="69"/>
  <c r="AA98" i="69"/>
  <c r="AD98" i="69"/>
  <c r="L94" i="69"/>
  <c r="AA26" i="69"/>
  <c r="AC26" i="69"/>
  <c r="AD26" i="69"/>
  <c r="L22" i="69"/>
  <c r="O22" i="69"/>
  <c r="Z26" i="69"/>
  <c r="N22" i="69"/>
  <c r="Z48" i="69"/>
  <c r="AA48" i="69"/>
  <c r="AD48" i="69"/>
  <c r="AC48" i="69"/>
  <c r="O44" i="69"/>
  <c r="N44" i="69"/>
  <c r="L44" i="69"/>
  <c r="AC20" i="69"/>
  <c r="AD20" i="69"/>
  <c r="AA20" i="69"/>
  <c r="O16" i="69"/>
  <c r="Z20" i="69"/>
  <c r="N16" i="69"/>
  <c r="L16" i="69"/>
  <c r="U28" i="40"/>
  <c r="X28" i="40"/>
  <c r="W28" i="40"/>
  <c r="V28" i="40"/>
  <c r="N93" i="69"/>
  <c r="Z97" i="69"/>
  <c r="AC97" i="69"/>
  <c r="AD97" i="69"/>
  <c r="AA97" i="69"/>
  <c r="L93" i="69"/>
  <c r="O93" i="69"/>
  <c r="U25" i="40"/>
  <c r="X25" i="40"/>
  <c r="W25" i="40"/>
  <c r="V25" i="40"/>
  <c r="U22" i="40"/>
  <c r="X22" i="40"/>
  <c r="W22" i="40"/>
  <c r="V22" i="40"/>
  <c r="Z78" i="69"/>
  <c r="AC78" i="69"/>
  <c r="AA78" i="69"/>
  <c r="AD78" i="69"/>
  <c r="L74" i="69"/>
  <c r="O74" i="69"/>
  <c r="N74" i="69"/>
  <c r="X47" i="45"/>
  <c r="X61" i="45"/>
  <c r="Z65" i="69"/>
  <c r="N61" i="69"/>
  <c r="AC65" i="69"/>
  <c r="O61" i="69"/>
  <c r="AA65" i="69"/>
  <c r="AD65" i="69"/>
  <c r="L61" i="69"/>
  <c r="AA101" i="69"/>
  <c r="AC101" i="69"/>
  <c r="N97" i="69"/>
  <c r="AD101" i="69"/>
  <c r="Z101" i="69"/>
  <c r="L97" i="69"/>
  <c r="O97" i="69"/>
  <c r="U34" i="40"/>
  <c r="X34" i="40"/>
  <c r="W34" i="40"/>
  <c r="V34" i="40"/>
  <c r="Z32" i="69"/>
  <c r="AA32" i="69"/>
  <c r="AD32" i="69"/>
  <c r="AC32" i="69"/>
  <c r="O28" i="69"/>
  <c r="L28" i="69"/>
  <c r="N28" i="69"/>
  <c r="X48" i="45"/>
  <c r="U53" i="40"/>
  <c r="X53" i="40"/>
  <c r="V53" i="40"/>
  <c r="W53" i="40"/>
  <c r="X44" i="45"/>
  <c r="X41" i="45"/>
  <c r="U97" i="40"/>
  <c r="W97" i="40"/>
  <c r="V97" i="40"/>
  <c r="X97" i="40"/>
  <c r="U52" i="40"/>
  <c r="X52" i="40"/>
  <c r="V52" i="40"/>
  <c r="W52" i="40"/>
  <c r="N29" i="69"/>
  <c r="Z33" i="69"/>
  <c r="AC33" i="69"/>
  <c r="AA33" i="69"/>
  <c r="O29" i="69"/>
  <c r="AD33" i="69"/>
  <c r="L29" i="69"/>
  <c r="U23" i="40"/>
  <c r="X23" i="40"/>
  <c r="V23" i="40"/>
  <c r="W23" i="40"/>
  <c r="AC52" i="69"/>
  <c r="AA52" i="69"/>
  <c r="L48" i="69"/>
  <c r="AD52" i="69"/>
  <c r="N48" i="69"/>
  <c r="O48" i="69"/>
  <c r="Z52" i="69"/>
  <c r="U35" i="40"/>
  <c r="V35" i="40"/>
  <c r="X35" i="40"/>
  <c r="W35" i="40"/>
  <c r="N24" i="69"/>
  <c r="AC28" i="69"/>
  <c r="Z28" i="69"/>
  <c r="AA28" i="69"/>
  <c r="AD28" i="69"/>
  <c r="L24" i="69"/>
  <c r="O24" i="69"/>
  <c r="U24" i="40"/>
  <c r="X24" i="40"/>
  <c r="V24" i="40"/>
  <c r="W24" i="40"/>
  <c r="U29" i="40"/>
  <c r="X29" i="40"/>
  <c r="V29" i="40"/>
  <c r="W29" i="40"/>
  <c r="U27" i="40"/>
  <c r="X27" i="40"/>
  <c r="V27" i="40"/>
  <c r="W27" i="40"/>
  <c r="AC84" i="69"/>
  <c r="AA84" i="69"/>
  <c r="AD84" i="69"/>
  <c r="N80" i="69"/>
  <c r="O80" i="69"/>
  <c r="Z84" i="69"/>
  <c r="L80" i="69"/>
  <c r="X93" i="45"/>
  <c r="U98" i="40"/>
  <c r="V98" i="40"/>
  <c r="W98" i="40"/>
  <c r="X98" i="40"/>
  <c r="U21" i="40"/>
  <c r="X21" i="40"/>
  <c r="V21" i="40"/>
  <c r="W21" i="40"/>
  <c r="O92" i="69"/>
  <c r="AD96" i="69"/>
  <c r="Z96" i="69"/>
  <c r="AA96" i="69"/>
  <c r="AC96" i="69"/>
  <c r="L92" i="69"/>
  <c r="N92" i="69"/>
  <c r="X85" i="45"/>
  <c r="L47" i="69"/>
  <c r="Z51" i="69"/>
  <c r="AD51" i="69"/>
  <c r="AC51" i="69"/>
  <c r="AA51" i="69"/>
  <c r="O47" i="69"/>
  <c r="N47" i="69"/>
  <c r="X106" i="45"/>
  <c r="Z22" i="69"/>
  <c r="AD22" i="69"/>
  <c r="AC22" i="69"/>
  <c r="L18" i="69"/>
  <c r="AA22" i="69"/>
  <c r="O18" i="69"/>
  <c r="N18" i="69"/>
  <c r="X30" i="45"/>
  <c r="N30" i="69"/>
  <c r="Z34" i="69"/>
  <c r="AD34" i="69"/>
  <c r="AA34" i="69"/>
  <c r="O30" i="69"/>
  <c r="AC34" i="69"/>
  <c r="L30" i="69"/>
  <c r="AC23" i="69"/>
  <c r="Z23" i="69"/>
  <c r="AA23" i="69"/>
  <c r="AD23" i="69"/>
  <c r="N19" i="69"/>
  <c r="O19" i="69"/>
  <c r="L19" i="69"/>
  <c r="R88" i="40" l="1"/>
  <c r="R113" i="40" s="1"/>
  <c r="B113" i="40"/>
  <c r="I110" i="45"/>
  <c r="B110" i="42"/>
  <c r="B111" i="40"/>
  <c r="Q113" i="42"/>
  <c r="L113" i="42"/>
  <c r="AE82" i="69"/>
  <c r="P78" i="69"/>
  <c r="B112" i="42"/>
  <c r="B110" i="69"/>
  <c r="I113" i="42"/>
  <c r="B112" i="40"/>
  <c r="AC113" i="69"/>
  <c r="S113" i="42"/>
  <c r="B109" i="42"/>
  <c r="B111" i="42"/>
  <c r="B111" i="69"/>
  <c r="T113" i="42"/>
  <c r="R113" i="42"/>
  <c r="H113" i="42"/>
  <c r="J113" i="42"/>
  <c r="AA113" i="69"/>
  <c r="P113" i="69"/>
  <c r="P113" i="40"/>
  <c r="B109" i="69"/>
  <c r="Y113" i="69"/>
  <c r="P112" i="40"/>
  <c r="O113" i="69"/>
  <c r="M113" i="69"/>
  <c r="AE113" i="69"/>
  <c r="AB113" i="69"/>
  <c r="K113" i="69"/>
  <c r="P111" i="40"/>
  <c r="N113" i="69"/>
  <c r="Z113" i="69"/>
  <c r="AD113" i="69"/>
  <c r="L113" i="69"/>
  <c r="B112" i="69"/>
  <c r="I11" i="42"/>
  <c r="T15" i="42"/>
  <c r="S15" i="42"/>
  <c r="R15" i="42"/>
  <c r="AA16" i="69"/>
  <c r="Y16" i="69"/>
  <c r="L12" i="69"/>
  <c r="P12" i="69"/>
  <c r="O12" i="69"/>
  <c r="N12" i="69"/>
  <c r="M12" i="69"/>
  <c r="Z16" i="69"/>
  <c r="K12" i="69"/>
  <c r="D110" i="45"/>
  <c r="M37" i="69"/>
  <c r="B77" i="45"/>
  <c r="G110" i="45"/>
  <c r="P110" i="45"/>
  <c r="E110" i="45"/>
  <c r="T79" i="42"/>
  <c r="I75" i="42"/>
  <c r="R79" i="42"/>
  <c r="Q40" i="42"/>
  <c r="I36" i="42"/>
  <c r="R40" i="42"/>
  <c r="F110" i="45"/>
  <c r="D111" i="45"/>
  <c r="I13" i="42"/>
  <c r="R17" i="42"/>
  <c r="L32" i="42"/>
  <c r="I32" i="42"/>
  <c r="R36" i="42"/>
  <c r="I76" i="42"/>
  <c r="R80" i="42"/>
  <c r="L70" i="42"/>
  <c r="I66" i="42"/>
  <c r="R70" i="42"/>
  <c r="J77" i="42"/>
  <c r="I77" i="42"/>
  <c r="R81" i="42"/>
  <c r="Q50" i="42"/>
  <c r="I50" i="42"/>
  <c r="R54" i="42"/>
  <c r="I59" i="42"/>
  <c r="R63" i="42"/>
  <c r="I55" i="42"/>
  <c r="R59" i="42"/>
  <c r="I52" i="42"/>
  <c r="R56" i="42"/>
  <c r="Q48" i="42"/>
  <c r="I48" i="42"/>
  <c r="R52" i="42"/>
  <c r="T67" i="42"/>
  <c r="I63" i="42"/>
  <c r="R67" i="42"/>
  <c r="I64" i="42"/>
  <c r="R68" i="42"/>
  <c r="L62" i="42"/>
  <c r="I58" i="42"/>
  <c r="R62" i="42"/>
  <c r="S90" i="42"/>
  <c r="I86" i="42"/>
  <c r="R90" i="42"/>
  <c r="T16" i="42"/>
  <c r="I12" i="42"/>
  <c r="I109" i="42" s="1"/>
  <c r="R16" i="42"/>
  <c r="L41" i="42"/>
  <c r="I41" i="42"/>
  <c r="R45" i="42"/>
  <c r="B37" i="45"/>
  <c r="I49" i="42"/>
  <c r="R53" i="42"/>
  <c r="S65" i="42"/>
  <c r="I61" i="42"/>
  <c r="R65" i="42"/>
  <c r="L40" i="42"/>
  <c r="Y62" i="69"/>
  <c r="K62" i="69"/>
  <c r="AE37" i="69"/>
  <c r="Y33" i="69"/>
  <c r="K33" i="69"/>
  <c r="L15" i="42"/>
  <c r="W83" i="40"/>
  <c r="AE16" i="69"/>
  <c r="B49" i="45"/>
  <c r="Y56" i="69"/>
  <c r="K56" i="69"/>
  <c r="V64" i="40"/>
  <c r="X72" i="40"/>
  <c r="AA54" i="69"/>
  <c r="Y50" i="69"/>
  <c r="K50" i="69"/>
  <c r="AE17" i="69"/>
  <c r="K13" i="69"/>
  <c r="AE68" i="69"/>
  <c r="Y64" i="69"/>
  <c r="K64" i="69"/>
  <c r="AA41" i="69"/>
  <c r="Y37" i="69"/>
  <c r="K37" i="69"/>
  <c r="Y54" i="69"/>
  <c r="Y41" i="69"/>
  <c r="Y51" i="69"/>
  <c r="K51" i="69"/>
  <c r="Y77" i="69"/>
  <c r="K77" i="69"/>
  <c r="AE63" i="69"/>
  <c r="Y59" i="69"/>
  <c r="K59" i="69"/>
  <c r="B42" i="45"/>
  <c r="Y53" i="69"/>
  <c r="K53" i="69"/>
  <c r="Z71" i="69"/>
  <c r="Y67" i="69"/>
  <c r="K67" i="69"/>
  <c r="Y76" i="69"/>
  <c r="K76" i="69"/>
  <c r="Y81" i="69"/>
  <c r="Y57" i="69"/>
  <c r="Y71" i="69"/>
  <c r="X70" i="40"/>
  <c r="AE91" i="69"/>
  <c r="Y87" i="69"/>
  <c r="K87" i="69"/>
  <c r="X18" i="40"/>
  <c r="U47" i="40"/>
  <c r="AE46" i="69"/>
  <c r="Y42" i="69"/>
  <c r="K42" i="69"/>
  <c r="U42" i="40"/>
  <c r="Y18" i="69"/>
  <c r="D112" i="45"/>
  <c r="Y63" i="69"/>
  <c r="Y68" i="69"/>
  <c r="AE69" i="69"/>
  <c r="Y65" i="69"/>
  <c r="K65" i="69"/>
  <c r="Y60" i="69"/>
  <c r="K60" i="69"/>
  <c r="Y49" i="69"/>
  <c r="K49" i="69"/>
  <c r="U81" i="40"/>
  <c r="T113" i="40"/>
  <c r="Y55" i="69"/>
  <c r="Y78" i="69"/>
  <c r="K78" i="69"/>
  <c r="Y110" i="40"/>
  <c r="Y66" i="69"/>
  <c r="Y91" i="69"/>
  <c r="O37" i="69"/>
  <c r="X42" i="45"/>
  <c r="S40" i="42"/>
  <c r="T40" i="42"/>
  <c r="L110" i="45"/>
  <c r="AC41" i="69"/>
  <c r="J36" i="42"/>
  <c r="H36" i="42"/>
  <c r="P37" i="69"/>
  <c r="AD41" i="69"/>
  <c r="N37" i="69"/>
  <c r="AB41" i="69"/>
  <c r="B59" i="45"/>
  <c r="L37" i="69"/>
  <c r="Z41" i="69"/>
  <c r="AC46" i="69"/>
  <c r="X47" i="40"/>
  <c r="AB46" i="69"/>
  <c r="L42" i="69"/>
  <c r="O42" i="69"/>
  <c r="W47" i="40"/>
  <c r="Z46" i="69"/>
  <c r="M42" i="69"/>
  <c r="X37" i="45"/>
  <c r="S79" i="42"/>
  <c r="L79" i="42"/>
  <c r="O110" i="45"/>
  <c r="Q41" i="42"/>
  <c r="V47" i="40"/>
  <c r="N42" i="69"/>
  <c r="S45" i="42"/>
  <c r="V110" i="45"/>
  <c r="T45" i="42"/>
  <c r="L45" i="42"/>
  <c r="Q45" i="42"/>
  <c r="V42" i="40"/>
  <c r="X42" i="40"/>
  <c r="H41" i="42"/>
  <c r="AD46" i="69"/>
  <c r="W42" i="40"/>
  <c r="B76" i="45"/>
  <c r="S110" i="45"/>
  <c r="K110" i="45"/>
  <c r="X76" i="45"/>
  <c r="W110" i="45"/>
  <c r="M110" i="45"/>
  <c r="Q110" i="45"/>
  <c r="N110" i="45"/>
  <c r="Q75" i="42"/>
  <c r="Q79" i="42"/>
  <c r="L75" i="42"/>
  <c r="J75" i="42"/>
  <c r="H75" i="42"/>
  <c r="AA80" i="69"/>
  <c r="AE80" i="69"/>
  <c r="AD80" i="69"/>
  <c r="O76" i="69"/>
  <c r="AC80" i="69"/>
  <c r="AB80" i="69"/>
  <c r="Z80" i="69"/>
  <c r="M76" i="69"/>
  <c r="P76" i="69"/>
  <c r="N76" i="69"/>
  <c r="L76" i="69"/>
  <c r="T90" i="42"/>
  <c r="B53" i="45"/>
  <c r="V81" i="40"/>
  <c r="X81" i="40"/>
  <c r="W81" i="40"/>
  <c r="AD17" i="69"/>
  <c r="AD54" i="69"/>
  <c r="AC17" i="69"/>
  <c r="AB17" i="69"/>
  <c r="L13" i="69"/>
  <c r="AA17" i="69"/>
  <c r="P13" i="69"/>
  <c r="Z17" i="69"/>
  <c r="N13" i="69"/>
  <c r="M13" i="69"/>
  <c r="O13" i="69"/>
  <c r="S54" i="42"/>
  <c r="H86" i="42"/>
  <c r="U18" i="40"/>
  <c r="J58" i="42"/>
  <c r="Q86" i="42"/>
  <c r="L86" i="42"/>
  <c r="L50" i="42"/>
  <c r="B33" i="45"/>
  <c r="X64" i="40"/>
  <c r="U64" i="40"/>
  <c r="B50" i="45"/>
  <c r="B78" i="45"/>
  <c r="G111" i="45"/>
  <c r="Q16" i="42"/>
  <c r="J12" i="42"/>
  <c r="S16" i="42"/>
  <c r="L16" i="42"/>
  <c r="B60" i="45"/>
  <c r="X78" i="45"/>
  <c r="H12" i="42"/>
  <c r="L54" i="42"/>
  <c r="B51" i="45"/>
  <c r="G112" i="45"/>
  <c r="V18" i="40"/>
  <c r="J86" i="42"/>
  <c r="L90" i="42"/>
  <c r="Q62" i="42"/>
  <c r="W18" i="40"/>
  <c r="O67" i="69"/>
  <c r="AC16" i="69"/>
  <c r="Q77" i="42"/>
  <c r="Q58" i="42"/>
  <c r="J50" i="42"/>
  <c r="T54" i="42"/>
  <c r="H50" i="42"/>
  <c r="Q90" i="42"/>
  <c r="L58" i="42"/>
  <c r="B62" i="45"/>
  <c r="Q54" i="42"/>
  <c r="T62" i="42"/>
  <c r="B67" i="45"/>
  <c r="AB16" i="69"/>
  <c r="P14" i="69"/>
  <c r="AE18" i="69"/>
  <c r="P77" i="69"/>
  <c r="AE81" i="69"/>
  <c r="C113" i="45"/>
  <c r="B87" i="45"/>
  <c r="B113" i="45" s="1"/>
  <c r="P53" i="69"/>
  <c r="AE57" i="69"/>
  <c r="AD16" i="69"/>
  <c r="B64" i="45"/>
  <c r="P67" i="69"/>
  <c r="AE71" i="69"/>
  <c r="P56" i="69"/>
  <c r="AE60" i="69"/>
  <c r="P51" i="69"/>
  <c r="AE55" i="69"/>
  <c r="P49" i="69"/>
  <c r="AE53" i="69"/>
  <c r="P60" i="69"/>
  <c r="AE64" i="69"/>
  <c r="B56" i="45"/>
  <c r="X67" i="45"/>
  <c r="P50" i="69"/>
  <c r="AE54" i="69"/>
  <c r="P62" i="69"/>
  <c r="AE66" i="69"/>
  <c r="B65" i="45"/>
  <c r="H58" i="42"/>
  <c r="S62" i="42"/>
  <c r="AB37" i="69"/>
  <c r="P33" i="69"/>
  <c r="AB69" i="69"/>
  <c r="P65" i="69"/>
  <c r="AB68" i="69"/>
  <c r="P64" i="69"/>
  <c r="Z66" i="69"/>
  <c r="L50" i="69"/>
  <c r="AB63" i="69"/>
  <c r="P59" i="69"/>
  <c r="Z54" i="69"/>
  <c r="AB91" i="69"/>
  <c r="P87" i="69"/>
  <c r="M14" i="69"/>
  <c r="AB18" i="69"/>
  <c r="AA55" i="69"/>
  <c r="AB55" i="69"/>
  <c r="AC71" i="69"/>
  <c r="AB71" i="69"/>
  <c r="AD71" i="69"/>
  <c r="M60" i="69"/>
  <c r="AB64" i="69"/>
  <c r="M56" i="69"/>
  <c r="AB60" i="69"/>
  <c r="M53" i="69"/>
  <c r="AB57" i="69"/>
  <c r="AC53" i="69"/>
  <c r="AB53" i="69"/>
  <c r="M77" i="69"/>
  <c r="AB81" i="69"/>
  <c r="M50" i="69"/>
  <c r="AB54" i="69"/>
  <c r="M62" i="69"/>
  <c r="AB66" i="69"/>
  <c r="W72" i="40"/>
  <c r="V72" i="40"/>
  <c r="U72" i="40"/>
  <c r="U83" i="40"/>
  <c r="V83" i="40"/>
  <c r="V92" i="40"/>
  <c r="L62" i="69"/>
  <c r="X50" i="45"/>
  <c r="N62" i="69"/>
  <c r="L65" i="42"/>
  <c r="O62" i="69"/>
  <c r="Q67" i="42"/>
  <c r="X51" i="45"/>
  <c r="AC66" i="69"/>
  <c r="AD66" i="69"/>
  <c r="AA66" i="69"/>
  <c r="V55" i="40"/>
  <c r="X69" i="40"/>
  <c r="Q61" i="42"/>
  <c r="S52" i="42"/>
  <c r="O51" i="69"/>
  <c r="L48" i="42"/>
  <c r="X55" i="40"/>
  <c r="U55" i="40"/>
  <c r="W55" i="40"/>
  <c r="Q70" i="42"/>
  <c r="L81" i="42"/>
  <c r="X83" i="40"/>
  <c r="H77" i="42"/>
  <c r="T81" i="42"/>
  <c r="Q32" i="42"/>
  <c r="AC54" i="69"/>
  <c r="S81" i="42"/>
  <c r="V67" i="40"/>
  <c r="N50" i="69"/>
  <c r="O50" i="69"/>
  <c r="Q81" i="42"/>
  <c r="L77" i="42"/>
  <c r="X59" i="45"/>
  <c r="W56" i="40"/>
  <c r="I112" i="45"/>
  <c r="W111" i="45"/>
  <c r="U56" i="40"/>
  <c r="V54" i="40"/>
  <c r="W67" i="40"/>
  <c r="V17" i="40"/>
  <c r="AD55" i="69"/>
  <c r="Z53" i="69"/>
  <c r="L51" i="69"/>
  <c r="AC55" i="69"/>
  <c r="L67" i="69"/>
  <c r="N51" i="69"/>
  <c r="Z55" i="69"/>
  <c r="M33" i="69"/>
  <c r="M87" i="69"/>
  <c r="AC63" i="69"/>
  <c r="M59" i="69"/>
  <c r="L59" i="69"/>
  <c r="M51" i="69"/>
  <c r="M49" i="69"/>
  <c r="M64" i="69"/>
  <c r="Z63" i="69"/>
  <c r="Z69" i="69"/>
  <c r="M65" i="69"/>
  <c r="AA71" i="69"/>
  <c r="M67" i="69"/>
  <c r="N59" i="69"/>
  <c r="AA63" i="69"/>
  <c r="O59" i="69"/>
  <c r="AD63" i="69"/>
  <c r="L112" i="45"/>
  <c r="J61" i="42"/>
  <c r="L61" i="42"/>
  <c r="Q65" i="42"/>
  <c r="X56" i="40"/>
  <c r="X54" i="40"/>
  <c r="AA91" i="69"/>
  <c r="W70" i="40"/>
  <c r="T65" i="42"/>
  <c r="X77" i="45"/>
  <c r="W112" i="45"/>
  <c r="H61" i="42"/>
  <c r="V56" i="40"/>
  <c r="W54" i="40"/>
  <c r="W64" i="40"/>
  <c r="N67" i="69"/>
  <c r="X67" i="40"/>
  <c r="U67" i="40"/>
  <c r="U70" i="40"/>
  <c r="K112" i="45"/>
  <c r="Q66" i="42"/>
  <c r="H66" i="42"/>
  <c r="T70" i="42"/>
  <c r="S70" i="42"/>
  <c r="L66" i="42"/>
  <c r="J66" i="42"/>
  <c r="AA69" i="69"/>
  <c r="U54" i="40"/>
  <c r="C112" i="45"/>
  <c r="AD68" i="69"/>
  <c r="V70" i="40"/>
  <c r="M111" i="45"/>
  <c r="X64" i="45"/>
  <c r="V111" i="45"/>
  <c r="E112" i="45"/>
  <c r="X62" i="45"/>
  <c r="U112" i="45"/>
  <c r="AA68" i="69"/>
  <c r="V69" i="40"/>
  <c r="W69" i="40"/>
  <c r="U69" i="40"/>
  <c r="N49" i="69"/>
  <c r="AA53" i="69"/>
  <c r="J63" i="42"/>
  <c r="L49" i="69"/>
  <c r="AD53" i="69"/>
  <c r="L67" i="42"/>
  <c r="S67" i="42"/>
  <c r="H63" i="42"/>
  <c r="X65" i="40"/>
  <c r="W65" i="40"/>
  <c r="Q112" i="45"/>
  <c r="Q63" i="42"/>
  <c r="P112" i="45"/>
  <c r="X60" i="45"/>
  <c r="O49" i="69"/>
  <c r="U65" i="40"/>
  <c r="V65" i="40"/>
  <c r="P111" i="45"/>
  <c r="Q15" i="42"/>
  <c r="Q52" i="42"/>
  <c r="H48" i="42"/>
  <c r="T52" i="42"/>
  <c r="J11" i="42"/>
  <c r="J48" i="42"/>
  <c r="AC68" i="69"/>
  <c r="N64" i="69"/>
  <c r="N87" i="69"/>
  <c r="AD91" i="69"/>
  <c r="O64" i="69"/>
  <c r="O87" i="69"/>
  <c r="L87" i="69"/>
  <c r="Z91" i="69"/>
  <c r="AC69" i="69"/>
  <c r="AD69" i="69"/>
  <c r="L65" i="69"/>
  <c r="L64" i="69"/>
  <c r="Z68" i="69"/>
  <c r="AC91" i="69"/>
  <c r="N65" i="69"/>
  <c r="W92" i="40"/>
  <c r="X65" i="45"/>
  <c r="F112" i="45"/>
  <c r="S112" i="45"/>
  <c r="X49" i="45"/>
  <c r="X53" i="45"/>
  <c r="U92" i="40"/>
  <c r="N112" i="45"/>
  <c r="E111" i="45"/>
  <c r="Q111" i="45"/>
  <c r="O65" i="69"/>
  <c r="X87" i="45"/>
  <c r="X113" i="45" s="1"/>
  <c r="X92" i="40"/>
  <c r="X17" i="40"/>
  <c r="O112" i="45"/>
  <c r="I111" i="45"/>
  <c r="H11" i="42"/>
  <c r="V112" i="45"/>
  <c r="W17" i="40"/>
  <c r="M112" i="45"/>
  <c r="U17" i="40"/>
  <c r="S111" i="45"/>
  <c r="K111" i="45"/>
  <c r="X56" i="45"/>
  <c r="L111" i="45"/>
  <c r="F111" i="45"/>
  <c r="U111" i="45"/>
  <c r="X33" i="45"/>
  <c r="N111" i="45"/>
  <c r="O111" i="45"/>
  <c r="J64" i="42"/>
  <c r="T68" i="42"/>
  <c r="Q64" i="42"/>
  <c r="L64" i="42"/>
  <c r="S68" i="42"/>
  <c r="L68" i="42"/>
  <c r="H64" i="42"/>
  <c r="Q68" i="42"/>
  <c r="AD81" i="69"/>
  <c r="L77" i="69"/>
  <c r="AC81" i="69"/>
  <c r="AA81" i="69"/>
  <c r="N77" i="69"/>
  <c r="O77" i="69"/>
  <c r="Z81" i="69"/>
  <c r="V58" i="40"/>
  <c r="W58" i="40"/>
  <c r="X58" i="40"/>
  <c r="U58" i="40"/>
  <c r="C111" i="45"/>
  <c r="S36" i="42"/>
  <c r="J32" i="42"/>
  <c r="H32" i="42"/>
  <c r="T36" i="42"/>
  <c r="Q36" i="42"/>
  <c r="L36" i="42"/>
  <c r="AC64" i="69"/>
  <c r="L60" i="69"/>
  <c r="Z64" i="69"/>
  <c r="AA64" i="69"/>
  <c r="O60" i="69"/>
  <c r="N60" i="69"/>
  <c r="AD64" i="69"/>
  <c r="AC60" i="69"/>
  <c r="Z60" i="69"/>
  <c r="L56" i="69"/>
  <c r="AD60" i="69"/>
  <c r="N56" i="69"/>
  <c r="AA60" i="69"/>
  <c r="O56" i="69"/>
  <c r="H59" i="42"/>
  <c r="S63" i="42"/>
  <c r="L59" i="42"/>
  <c r="T63" i="42"/>
  <c r="Q59" i="42"/>
  <c r="J59" i="42"/>
  <c r="C110" i="45"/>
  <c r="AC37" i="69"/>
  <c r="AC110" i="69" s="1"/>
  <c r="N33" i="69"/>
  <c r="L33" i="69"/>
  <c r="AD37" i="69"/>
  <c r="Z37" i="69"/>
  <c r="AA37" i="69"/>
  <c r="O33" i="69"/>
  <c r="U110" i="45"/>
  <c r="X38" i="40"/>
  <c r="X110" i="40" s="1"/>
  <c r="U38" i="40"/>
  <c r="W38" i="40"/>
  <c r="V38" i="40"/>
  <c r="S80" i="42"/>
  <c r="L80" i="42"/>
  <c r="J76" i="42"/>
  <c r="T80" i="42"/>
  <c r="H76" i="42"/>
  <c r="Q80" i="42"/>
  <c r="Q76" i="42"/>
  <c r="L76" i="42"/>
  <c r="U61" i="40"/>
  <c r="X61" i="40"/>
  <c r="W61" i="40"/>
  <c r="V61" i="40"/>
  <c r="H52" i="42"/>
  <c r="T56" i="42"/>
  <c r="L56" i="42"/>
  <c r="Q56" i="42"/>
  <c r="S56" i="42"/>
  <c r="J52" i="42"/>
  <c r="L52" i="42"/>
  <c r="N53" i="69"/>
  <c r="AD57" i="69"/>
  <c r="AC57" i="69"/>
  <c r="L53" i="69"/>
  <c r="AA57" i="69"/>
  <c r="O53" i="69"/>
  <c r="Z57" i="69"/>
  <c r="H49" i="42"/>
  <c r="Q49" i="42"/>
  <c r="J49" i="42"/>
  <c r="L49" i="42"/>
  <c r="L53" i="42"/>
  <c r="T53" i="42"/>
  <c r="Q53" i="42"/>
  <c r="S53" i="42"/>
  <c r="L63" i="42"/>
  <c r="X82" i="40"/>
  <c r="V82" i="40"/>
  <c r="U82" i="40"/>
  <c r="W82" i="40"/>
  <c r="T59" i="42"/>
  <c r="Q55" i="42"/>
  <c r="J55" i="42"/>
  <c r="L55" i="42"/>
  <c r="H55" i="42"/>
  <c r="S59" i="42"/>
  <c r="AC18" i="69"/>
  <c r="O14" i="69"/>
  <c r="AA18" i="69"/>
  <c r="L14" i="69"/>
  <c r="Z18" i="69"/>
  <c r="AD18" i="69"/>
  <c r="N14" i="69"/>
  <c r="T17" i="42"/>
  <c r="H13" i="42"/>
  <c r="S17" i="42"/>
  <c r="J13" i="42"/>
  <c r="Q17" i="42"/>
  <c r="L17" i="42"/>
  <c r="W19" i="40"/>
  <c r="V19" i="40"/>
  <c r="X19" i="40"/>
  <c r="U19" i="40"/>
  <c r="T110" i="42" l="1"/>
  <c r="O110" i="69"/>
  <c r="AA110" i="69"/>
  <c r="V110" i="40"/>
  <c r="AB110" i="69"/>
  <c r="U110" i="40"/>
  <c r="AE111" i="69"/>
  <c r="L112" i="42"/>
  <c r="K111" i="69"/>
  <c r="P110" i="69"/>
  <c r="R112" i="42"/>
  <c r="H111" i="42"/>
  <c r="J112" i="42"/>
  <c r="S110" i="42"/>
  <c r="Q112" i="42"/>
  <c r="S112" i="42"/>
  <c r="T112" i="42"/>
  <c r="AB111" i="69"/>
  <c r="Y112" i="69"/>
  <c r="I112" i="42"/>
  <c r="R109" i="42"/>
  <c r="AD112" i="69"/>
  <c r="L110" i="69"/>
  <c r="AE112" i="69"/>
  <c r="Y113" i="40"/>
  <c r="AD110" i="69"/>
  <c r="R110" i="42"/>
  <c r="Z110" i="69"/>
  <c r="H112" i="42"/>
  <c r="X111" i="40"/>
  <c r="X113" i="40"/>
  <c r="P111" i="69"/>
  <c r="W113" i="40"/>
  <c r="O112" i="69"/>
  <c r="W110" i="40"/>
  <c r="M111" i="69"/>
  <c r="Y111" i="69"/>
  <c r="S109" i="42"/>
  <c r="U111" i="40"/>
  <c r="V113" i="40"/>
  <c r="L109" i="42"/>
  <c r="T109" i="42"/>
  <c r="N110" i="69"/>
  <c r="T111" i="42"/>
  <c r="AA112" i="69"/>
  <c r="T110" i="40"/>
  <c r="T111" i="40"/>
  <c r="I111" i="42"/>
  <c r="W111" i="40"/>
  <c r="Z111" i="69"/>
  <c r="R110" i="40"/>
  <c r="R111" i="40"/>
  <c r="O111" i="69"/>
  <c r="H110" i="42"/>
  <c r="Q111" i="42"/>
  <c r="H109" i="42"/>
  <c r="L112" i="69"/>
  <c r="K110" i="69"/>
  <c r="L111" i="69"/>
  <c r="J110" i="42"/>
  <c r="Q109" i="42"/>
  <c r="N112" i="69"/>
  <c r="Y110" i="69"/>
  <c r="P112" i="69"/>
  <c r="K112" i="69"/>
  <c r="Y111" i="40"/>
  <c r="AE110" i="69"/>
  <c r="AD111" i="69"/>
  <c r="V111" i="40"/>
  <c r="S111" i="42"/>
  <c r="M112" i="69"/>
  <c r="I110" i="42"/>
  <c r="N111" i="69"/>
  <c r="Q110" i="42"/>
  <c r="Z112" i="69"/>
  <c r="U113" i="40"/>
  <c r="L110" i="42"/>
  <c r="L111" i="42"/>
  <c r="M110" i="69"/>
  <c r="J109" i="42"/>
  <c r="AB112" i="69"/>
  <c r="J111" i="42"/>
  <c r="AA111" i="69"/>
  <c r="AC111" i="69"/>
  <c r="AC112" i="69"/>
  <c r="R111" i="42"/>
  <c r="AA109" i="69"/>
  <c r="W112" i="40"/>
  <c r="U112" i="40"/>
  <c r="Y112" i="40"/>
  <c r="K109" i="69"/>
  <c r="X112" i="40"/>
  <c r="Z109" i="69"/>
  <c r="R112" i="40"/>
  <c r="T112" i="40"/>
  <c r="M109" i="69"/>
  <c r="N109" i="69"/>
  <c r="AB109" i="69"/>
  <c r="AC109" i="69"/>
  <c r="V112" i="40"/>
  <c r="O109" i="69"/>
  <c r="AE109" i="69"/>
  <c r="P109" i="69"/>
  <c r="L109" i="69"/>
  <c r="AD109" i="69"/>
  <c r="Y109" i="69"/>
  <c r="B110" i="45"/>
  <c r="X110" i="45"/>
  <c r="X112" i="45"/>
  <c r="B112" i="45"/>
  <c r="X111" i="45"/>
  <c r="B111" i="45"/>
  <c r="W26" i="45" l="1"/>
  <c r="U20" i="45"/>
  <c r="V27" i="45"/>
  <c r="U19" i="45"/>
  <c r="V22" i="45"/>
  <c r="V20" i="45"/>
  <c r="C23" i="45"/>
  <c r="B23" i="45" s="1"/>
  <c r="V23" i="45"/>
  <c r="I23" i="45"/>
  <c r="W23" i="45"/>
  <c r="S23" i="45"/>
  <c r="U23" i="45"/>
  <c r="S27" i="45"/>
  <c r="I27" i="45"/>
  <c r="W27" i="45"/>
  <c r="U27" i="45"/>
  <c r="C27" i="45"/>
  <c r="B27" i="45" s="1"/>
  <c r="V12" i="45"/>
  <c r="W12" i="45"/>
  <c r="C17" i="45"/>
  <c r="B17" i="45" s="1"/>
  <c r="U12" i="45"/>
  <c r="S17" i="45"/>
  <c r="I17" i="45"/>
  <c r="C25" i="45"/>
  <c r="B25" i="45" s="1"/>
  <c r="U17" i="45"/>
  <c r="V17" i="45"/>
  <c r="V25" i="45"/>
  <c r="W17" i="45"/>
  <c r="S25" i="45"/>
  <c r="I25" i="45"/>
  <c r="W25" i="45"/>
  <c r="U25" i="45"/>
  <c r="S12" i="45"/>
  <c r="C19" i="45"/>
  <c r="B19" i="45" s="1"/>
  <c r="I19" i="45"/>
  <c r="V19" i="45"/>
  <c r="S15" i="45"/>
  <c r="W19" i="45"/>
  <c r="S19" i="45"/>
  <c r="I15" i="45"/>
  <c r="I13" i="45"/>
  <c r="C15" i="45"/>
  <c r="B15" i="45" s="1"/>
  <c r="V26" i="45"/>
  <c r="S18" i="45"/>
  <c r="W15" i="45"/>
  <c r="I18" i="45"/>
  <c r="V18" i="45"/>
  <c r="V15" i="45"/>
  <c r="U15" i="45"/>
  <c r="W18" i="45"/>
  <c r="C22" i="45"/>
  <c r="B22" i="45" s="1"/>
  <c r="S22" i="45"/>
  <c r="U22" i="45"/>
  <c r="W21" i="45"/>
  <c r="I22" i="45"/>
  <c r="W22" i="45"/>
  <c r="S20" i="45"/>
  <c r="I20" i="45"/>
  <c r="W20" i="45"/>
  <c r="W16" i="45"/>
  <c r="C20" i="45"/>
  <c r="B20" i="45" s="1"/>
  <c r="V13" i="45"/>
  <c r="W13" i="45"/>
  <c r="S13" i="45"/>
  <c r="V21" i="45"/>
  <c r="U13" i="45"/>
  <c r="C24" i="45"/>
  <c r="B24" i="45" s="1"/>
  <c r="W24" i="45"/>
  <c r="S24" i="45"/>
  <c r="V24" i="45"/>
  <c r="I24" i="45"/>
  <c r="U16" i="45"/>
  <c r="S16" i="45"/>
  <c r="V16" i="45"/>
  <c r="C16" i="45"/>
  <c r="B16" i="45" s="1"/>
  <c r="U24" i="45"/>
  <c r="B13" i="45"/>
  <c r="I16" i="45"/>
  <c r="U18" i="45"/>
  <c r="C18" i="45"/>
  <c r="B18" i="45" s="1"/>
  <c r="I21" i="45"/>
  <c r="U21" i="45"/>
  <c r="U26" i="45"/>
  <c r="I26" i="45"/>
  <c r="U14" i="45"/>
  <c r="I14" i="45"/>
  <c r="W14" i="45"/>
  <c r="V14" i="45"/>
  <c r="S14" i="45"/>
  <c r="B14" i="45"/>
  <c r="U28" i="45"/>
  <c r="C28" i="45"/>
  <c r="B28" i="45" s="1"/>
  <c r="I28" i="45"/>
  <c r="V28" i="45"/>
  <c r="W28" i="45"/>
  <c r="S28" i="45"/>
  <c r="S21" i="45"/>
  <c r="S26" i="45"/>
  <c r="C21" i="45"/>
  <c r="B21" i="45" s="1"/>
  <c r="C26" i="45"/>
  <c r="B26" i="45" s="1"/>
  <c r="X20" i="45" l="1"/>
  <c r="X27" i="45"/>
  <c r="X19" i="45"/>
  <c r="X22" i="45"/>
  <c r="X13" i="45"/>
  <c r="X25" i="45"/>
  <c r="X23" i="45"/>
  <c r="X12" i="45"/>
  <c r="X21" i="45"/>
  <c r="X15" i="45"/>
  <c r="X17" i="45"/>
  <c r="X16" i="45"/>
  <c r="X18" i="45"/>
  <c r="X26" i="45"/>
  <c r="E122" i="45"/>
  <c r="X24" i="45"/>
  <c r="C120" i="45"/>
  <c r="D120" i="45"/>
  <c r="C123" i="45"/>
  <c r="C122" i="45"/>
  <c r="D121" i="45"/>
  <c r="D119" i="45"/>
  <c r="D123" i="45"/>
  <c r="D122" i="45"/>
  <c r="F120" i="45"/>
  <c r="E120" i="45"/>
  <c r="E123" i="45"/>
  <c r="F123" i="45"/>
  <c r="C121" i="45"/>
  <c r="F122" i="45"/>
  <c r="E121" i="45"/>
  <c r="F121" i="45"/>
  <c r="F119" i="45"/>
  <c r="X28" i="45"/>
  <c r="X14" i="45"/>
  <c r="C119" i="45"/>
  <c r="E119" i="45" l="1"/>
  <c r="E118" i="45"/>
  <c r="F118" i="45"/>
  <c r="F124" i="45" s="1"/>
  <c r="D118" i="45"/>
  <c r="D124" i="45" s="1"/>
  <c r="C118" i="45"/>
  <c r="C124" i="45" s="1"/>
  <c r="E124" i="45" l="1"/>
</calcChain>
</file>

<file path=xl/sharedStrings.xml><?xml version="1.0" encoding="utf-8"?>
<sst xmlns="http://schemas.openxmlformats.org/spreadsheetml/2006/main" count="772" uniqueCount="287">
  <si>
    <t>Q1-1993</t>
  </si>
  <si>
    <t>Q2-1993</t>
  </si>
  <si>
    <t>Q3-1993</t>
  </si>
  <si>
    <t>Q4-1993</t>
  </si>
  <si>
    <t>Q1-1994</t>
  </si>
  <si>
    <t>Q2-1994</t>
  </si>
  <si>
    <t>Q3-1994</t>
  </si>
  <si>
    <t>Q4-1994</t>
  </si>
  <si>
    <t>Q1-1995</t>
  </si>
  <si>
    <t>Q2-1995</t>
  </si>
  <si>
    <t>Q3-1995</t>
  </si>
  <si>
    <t>Q4-1995</t>
  </si>
  <si>
    <t>Q1-1996</t>
  </si>
  <si>
    <t>Q2-1996</t>
  </si>
  <si>
    <t>Q3-1996</t>
  </si>
  <si>
    <t>Q4-1996</t>
  </si>
  <si>
    <t>Q1-1997</t>
  </si>
  <si>
    <t>Q2-1997</t>
  </si>
  <si>
    <t>Q3-1997</t>
  </si>
  <si>
    <t>Q4-1997</t>
  </si>
  <si>
    <t>Q1-1998</t>
  </si>
  <si>
    <t>Q2-1998</t>
  </si>
  <si>
    <t>Q3-1998</t>
  </si>
  <si>
    <t>Q4-1998</t>
  </si>
  <si>
    <t>Q1-1999</t>
  </si>
  <si>
    <t>Q2-1999</t>
  </si>
  <si>
    <t>Q3-1999</t>
  </si>
  <si>
    <t>Q4-1999</t>
  </si>
  <si>
    <t>Q1-2000</t>
  </si>
  <si>
    <t>Q2-2000</t>
  </si>
  <si>
    <t>Q3-2000</t>
  </si>
  <si>
    <t>Q4-2000</t>
  </si>
  <si>
    <t>Q1-2001</t>
  </si>
  <si>
    <t>Q2-2001</t>
  </si>
  <si>
    <t>Q3-2001</t>
  </si>
  <si>
    <t>Q4-2001</t>
  </si>
  <si>
    <t>Q1-2002</t>
  </si>
  <si>
    <t>Q2-2002</t>
  </si>
  <si>
    <t>Q3-2002</t>
  </si>
  <si>
    <t>Q4-2002</t>
  </si>
  <si>
    <t>Q1-2003</t>
  </si>
  <si>
    <t>Q2-2003</t>
  </si>
  <si>
    <t>Q3-2003</t>
  </si>
  <si>
    <t>Q4-2003</t>
  </si>
  <si>
    <t>Q1-2004</t>
  </si>
  <si>
    <t>Q2-2004</t>
  </si>
  <si>
    <t>Q3-2004</t>
  </si>
  <si>
    <t>Q4-2004</t>
  </si>
  <si>
    <t>Q1-2005</t>
  </si>
  <si>
    <t>Q2-2005</t>
  </si>
  <si>
    <t>Q3-2005</t>
  </si>
  <si>
    <t>Q4-2005</t>
  </si>
  <si>
    <t>Q1-2006</t>
  </si>
  <si>
    <t>Q2-2006</t>
  </si>
  <si>
    <t>Q3-2006</t>
  </si>
  <si>
    <t>Q4-2006</t>
  </si>
  <si>
    <t>Q1-2007</t>
  </si>
  <si>
    <t>Q2-2007</t>
  </si>
  <si>
    <t>Q3-2007</t>
  </si>
  <si>
    <t>Q4-2007</t>
  </si>
  <si>
    <t>Q1-2008</t>
  </si>
  <si>
    <t>Q2-2008</t>
  </si>
  <si>
    <t>Q3-2008</t>
  </si>
  <si>
    <t>Q4-2008</t>
  </si>
  <si>
    <t>Q1-2009</t>
  </si>
  <si>
    <t>Q2-2009</t>
  </si>
  <si>
    <t>Q3-2009</t>
  </si>
  <si>
    <t>Q4-2009</t>
  </si>
  <si>
    <t>Q1-2010</t>
  </si>
  <si>
    <t>Q2-2010</t>
  </si>
  <si>
    <t>Q3-2010</t>
  </si>
  <si>
    <t>Q4-2010</t>
  </si>
  <si>
    <t>Q1-2011</t>
  </si>
  <si>
    <t>Q2-2011</t>
  </si>
  <si>
    <t>Q3-2011</t>
  </si>
  <si>
    <t>Q4-2011</t>
  </si>
  <si>
    <t>Q1-2012</t>
  </si>
  <si>
    <t>Q2-2012</t>
  </si>
  <si>
    <t>Q3-2012</t>
  </si>
  <si>
    <t>Q4-2012</t>
  </si>
  <si>
    <t>Q1-2013</t>
  </si>
  <si>
    <t>Q2-2013</t>
  </si>
  <si>
    <t>Q3-2013</t>
  </si>
  <si>
    <t>Q4-2013</t>
  </si>
  <si>
    <t>Q1-2014</t>
  </si>
  <si>
    <t>Q2-2014</t>
  </si>
  <si>
    <t>Q3-2014</t>
  </si>
  <si>
    <t>Q4-2014</t>
  </si>
  <si>
    <t>Q1-2015</t>
  </si>
  <si>
    <t>Q2-2015</t>
  </si>
  <si>
    <t>Q3-2015</t>
  </si>
  <si>
    <t>Q4-2015</t>
  </si>
  <si>
    <t>Q1-2016</t>
  </si>
  <si>
    <t>Year</t>
  </si>
  <si>
    <t>Private Consumption</t>
  </si>
  <si>
    <t>Public Consumption</t>
  </si>
  <si>
    <t>Public Investment</t>
  </si>
  <si>
    <t>Private Investment</t>
  </si>
  <si>
    <t>Category</t>
  </si>
  <si>
    <t>1998-2001</t>
  </si>
  <si>
    <t>2002-2005</t>
  </si>
  <si>
    <t>2006-2009</t>
  </si>
  <si>
    <t>2a</t>
  </si>
  <si>
    <t>4a</t>
  </si>
  <si>
    <t>Unemployment</t>
  </si>
  <si>
    <t>2010-2015</t>
  </si>
  <si>
    <t>Q2-2016</t>
  </si>
  <si>
    <t>Real GDP Growth</t>
  </si>
  <si>
    <t>Sheet</t>
  </si>
  <si>
    <t>Meet 5% Target?</t>
  </si>
  <si>
    <t>Notes</t>
  </si>
  <si>
    <t>3a</t>
  </si>
  <si>
    <t>Higher Growth</t>
  </si>
  <si>
    <t>Lower Growth</t>
  </si>
  <si>
    <t>Will the 5% growth target be met in 2016-17?</t>
  </si>
  <si>
    <t>What is your forecast for growth in 2016?</t>
  </si>
  <si>
    <t>Inflation</t>
  </si>
  <si>
    <t>Industrial Production</t>
  </si>
  <si>
    <t>Credit to the Private Sector</t>
  </si>
  <si>
    <t>Growth Determinants: Does each point to higher or lower growth in 2016?</t>
  </si>
  <si>
    <t>Business Cycle Indicators: Does each point to higher or lower growth in 2016?</t>
  </si>
  <si>
    <t>Exports of Goods &amp; Services</t>
  </si>
  <si>
    <t>Imports of Goods &amp; Services</t>
  </si>
  <si>
    <t>No change</t>
  </si>
  <si>
    <t>Aggregate Demand</t>
  </si>
  <si>
    <t xml:space="preserve">     (Enter your forecast in the Sheet 6)</t>
  </si>
  <si>
    <t xml:space="preserve">Risks </t>
  </si>
  <si>
    <t>Q3-2016</t>
  </si>
  <si>
    <t xml:space="preserve"> </t>
  </si>
  <si>
    <t>=D9+K9+M9+U9+Y9</t>
  </si>
  <si>
    <t>=N9+Q9</t>
  </si>
  <si>
    <t>=R9+S9</t>
  </si>
  <si>
    <t>=W9-X9</t>
  </si>
  <si>
    <t>=(B17/B13-1)*100</t>
  </si>
  <si>
    <t>=((D17-D13)/($B13))*100</t>
  </si>
  <si>
    <t>=(D12/$B12)*100</t>
  </si>
  <si>
    <t>=(H16/H12-1)*100</t>
  </si>
  <si>
    <t>=(B16/B12-1)*100</t>
  </si>
  <si>
    <t>=((I17-I13)/($B13))*100</t>
  </si>
  <si>
    <t>=SUM(C12:G12)</t>
  </si>
  <si>
    <t>=(D17/D13-1)*100</t>
  </si>
  <si>
    <t>=(E17/E13-1)*100</t>
  </si>
  <si>
    <t>=(F17/F13-1)*100</t>
  </si>
  <si>
    <t>=(G17/G13-1)*100</t>
  </si>
  <si>
    <t>=(H17/H13-1)*100</t>
  </si>
  <si>
    <t>=(I17/I13-1)*100</t>
  </si>
  <si>
    <t>=E12/$B12*100</t>
  </si>
  <si>
    <t>=F12/$B12*100</t>
  </si>
  <si>
    <t>=G12/$B12*100</t>
  </si>
  <si>
    <t>=H12/$B12*100</t>
  </si>
  <si>
    <t>=I12/$B12*100</t>
  </si>
  <si>
    <t>=((D16-D12)/$B12)*100</t>
  </si>
  <si>
    <t>=((E16-E12)/$B12)*100</t>
  </si>
  <si>
    <t>=((D15-D11)/$B11)*100</t>
  </si>
  <si>
    <t>=((E15-E11)/$B11)*100</t>
  </si>
  <si>
    <t>=((F15-F11)/$B11)*100</t>
  </si>
  <si>
    <t>=E11/$B11*100</t>
  </si>
  <si>
    <t>Ülke Analizi</t>
  </si>
  <si>
    <t>Toplam Talep Analizi</t>
  </si>
  <si>
    <t>Özel Yatırım ve Sermaye Stoku Analizi</t>
  </si>
  <si>
    <t>GSYH unsurlarının payı</t>
  </si>
  <si>
    <t xml:space="preserve">GSYH unsurlarının payı
</t>
  </si>
  <si>
    <t xml:space="preserve">Reel GSYH Bileşenleri
</t>
  </si>
  <si>
    <t>Reel GSYH (Düzey, 2008 Fiyatları-DND Milyar)</t>
  </si>
  <si>
    <t>Toplam Özel Tüketim (Cp)</t>
  </si>
  <si>
    <t xml:space="preserve">Toplam Özel Tüketim (Cp) </t>
  </si>
  <si>
    <t>Dayanıklı Tüketim</t>
  </si>
  <si>
    <t xml:space="preserve">Dayanıklı Tüketim </t>
  </si>
  <si>
    <t>Hizmetler</t>
  </si>
  <si>
    <t xml:space="preserve">Hizmetler </t>
  </si>
  <si>
    <t>Özel Tüketim Harcamaları Bileşenleri</t>
  </si>
  <si>
    <t>Kamu Reel Nihai Tüketim Harcamalarının Bileşenleri</t>
  </si>
  <si>
    <t>Brüt Sabit Sermaye Oluşumu (Gross Fixed Capital Formation)</t>
  </si>
  <si>
    <t xml:space="preserve">Toplam Özel ve Kamu GFCF </t>
  </si>
  <si>
    <t>Toplam Kamu GFCF (Ig) (Düzey, 2008 Fiyatları-DND Milyar)</t>
  </si>
  <si>
    <t>Toplam Kamu</t>
  </si>
  <si>
    <t>Reel Kamu Bileşenleri Brüt Sabit Sermaye Oluşumu</t>
  </si>
  <si>
    <t>Kamu Makina &amp; Ekipman (Düzey, 2008 Fiyatları-DND Milyar)</t>
  </si>
  <si>
    <t>Kamu İnşaat (Düzey, 2008 Fiyatları-DND Milyar)</t>
  </si>
  <si>
    <t>Reel Özel Bileşenleri Brüt Sabit Sermaye Oluşumu</t>
  </si>
  <si>
    <t>Toplam Özel GFCF (Ip) (Düzey, 2008 Fiyatları-DND Milyar)</t>
  </si>
  <si>
    <t>Toplam Özel</t>
  </si>
  <si>
    <t>Özel Makina &amp; Ekipman (Düzey, 2008 Fiyatları-DND Milyar)</t>
  </si>
  <si>
    <t>Özel Makina &amp; Ekipman</t>
  </si>
  <si>
    <t>Özel İnşaat (Düzey, 2008 Fiyatları-DND Milyar)</t>
  </si>
  <si>
    <t>Özel İnşaat</t>
  </si>
  <si>
    <t>Stok Değişimi</t>
  </si>
  <si>
    <t>Stok Değişimi (Düzey, 2008 Fiyatları-DND Milyar)</t>
  </si>
  <si>
    <t>Net İhracat: Mal ve Hizmet Ticareti</t>
  </si>
  <si>
    <t>Mal ihracatı ve Hizmetler (X) (Düzey, 2008 Fiyatları-DND Milyar)</t>
  </si>
  <si>
    <t xml:space="preserve">Mal ihracatı ve Hizmetler </t>
  </si>
  <si>
    <t>Mal ithalatı ve Hizmetler (IM) (Düzey, 2008 Fiyatları-DND Milyar)</t>
  </si>
  <si>
    <t xml:space="preserve">Mal ithalatı ve Hizmetler </t>
  </si>
  <si>
    <t>Net İhracat (NX) (Düzey, 2008 Fiyatları-DND Milyar)</t>
  </si>
  <si>
    <t>Net İhracat</t>
  </si>
  <si>
    <t>Net İhracat (NX)</t>
  </si>
  <si>
    <t>Yarı-Dayanıklı Tüketim</t>
  </si>
  <si>
    <t>Dayanıksız Tüketim</t>
  </si>
  <si>
    <t>Makina &amp; Ekipman (Kamu)</t>
  </si>
  <si>
    <t>İnşaat (Kamu)</t>
  </si>
  <si>
    <t>Makina &amp; Ekipman (Özel)</t>
  </si>
  <si>
    <t>İnşaat (Özel)</t>
  </si>
  <si>
    <t>İhracat + İthalat</t>
  </si>
  <si>
    <t xml:space="preserve">GSYH Büyümesine Katkı
</t>
  </si>
  <si>
    <t xml:space="preserve">GSYH Büyümesine Katkı 
</t>
  </si>
  <si>
    <t>Özel Tüketim (Cp)</t>
  </si>
  <si>
    <t>Kamu Tüketimi  (Cg)</t>
  </si>
  <si>
    <t>Kamu GFCF (Ig)</t>
  </si>
  <si>
    <t>Özel GFCF (Ip)</t>
  </si>
  <si>
    <t>Stok Değişimi (Ip)</t>
  </si>
  <si>
    <t>Özel Tüketim (Cp) Katkısı</t>
  </si>
  <si>
    <t>Kamu Tüketim (Cg) Katkısı</t>
  </si>
  <si>
    <t>Kamı Yatırım (Ig) Katkısı</t>
  </si>
  <si>
    <t>Özel Yatırım (Ip) Katkısı</t>
  </si>
  <si>
    <t>Stok Değişimi Katkısı</t>
  </si>
  <si>
    <t>Net İhracat (NX) Katkısı</t>
  </si>
  <si>
    <t>Reel GSYH</t>
  </si>
  <si>
    <t>Makina &amp; Ekipman</t>
  </si>
  <si>
    <t>İnşaat</t>
  </si>
  <si>
    <t>Reel GSYH Büyüme</t>
  </si>
  <si>
    <t>GSYH Bileşenleri (Düzey, 2008 Fiyatları-DND Milyar)</t>
  </si>
  <si>
    <t>GSYH Bileşenlerinin Büyüme Oranları</t>
  </si>
  <si>
    <t>Reel Özel Tüketim Bileşenleri (Düzey, 2008 Fiyatları-DND Milyar)</t>
  </si>
  <si>
    <t>Real Özel Tüketim (GSYH içindeki payı %)</t>
  </si>
  <si>
    <t>Özel Yatırım Bileşenlerinin Reel GSYH içindeki Payı</t>
  </si>
  <si>
    <t>Özel Yatırım Bileşenlerinin Reel GSYH içindeki Payının Büyüme Oranları (Year over Year)</t>
  </si>
  <si>
    <t>Özel Yatırımların GSYH Büyümesine Katkısı (Year over Year)</t>
  </si>
  <si>
    <t>Brüt Sabit Sermaye Oluşumunun Reel GSYH içindeki payının hesaplanması (%)</t>
  </si>
  <si>
    <t xml:space="preserve"> Stok Değişimi in Reel GSYH içindeki payının hesaplanması (%)</t>
  </si>
  <si>
    <t xml:space="preserve"> Net İhracat  Reel GSYH içindeki payının hesaplanması (%)</t>
  </si>
  <si>
    <t>Nihai Kamu Tüketim Harcamalarının Reel GSYH içindeki payı (%)</t>
  </si>
  <si>
    <t>Reel GSYH Bileşenlerinin Payları  4-Yıl Ortalaması</t>
  </si>
  <si>
    <t>Özel Tüketim</t>
  </si>
  <si>
    <t>Özel Yatırım</t>
  </si>
  <si>
    <t>Kamu Tüketimi</t>
  </si>
  <si>
    <t>Kamu Yatırımı</t>
  </si>
  <si>
    <t>Stoklar</t>
  </si>
  <si>
    <t>Ortalamalar</t>
  </si>
  <si>
    <t>Yarı Dayanıklı Tüketim</t>
  </si>
  <si>
    <t xml:space="preserve">Dayanıksız Tüketim </t>
  </si>
  <si>
    <t>Özel Tüketim (Cp) Harcamaların Reel GSYH içindeki Payı(%)</t>
  </si>
  <si>
    <t>Özel Tüketim Büyüme Oranları (% YoY)</t>
  </si>
  <si>
    <t>Özel Tüketim Bileşenlerinin Büyümeye Katkısı (% YoY)</t>
  </si>
  <si>
    <t>=SUM(E9:I9)</t>
  </si>
  <si>
    <t xml:space="preserve">Real GSYH Büyüme Oranı </t>
  </si>
  <si>
    <t>Özel Tüketim Analizi</t>
  </si>
  <si>
    <t>Özel Reel Brüt Sabit Sermaye Oluşumu Bileşenleri  (GFCFp) (Düzey, 2008 Fiyatları-DND Milyar)</t>
  </si>
  <si>
    <t>Reel GSYH Büyümesi Katkı ( Yıllık)</t>
  </si>
  <si>
    <t>Reel GSYH Büyüme Oranı( yıllık % değişim)</t>
  </si>
  <si>
    <t>1993-1997</t>
  </si>
  <si>
    <t>1998-2002</t>
  </si>
  <si>
    <t>2003-2007</t>
  </si>
  <si>
    <t>2008-2012</t>
  </si>
  <si>
    <t>2013-2016</t>
  </si>
  <si>
    <t>Toplam</t>
  </si>
  <si>
    <t>Toplam (Cp)</t>
  </si>
  <si>
    <t>Toplam GFCFp</t>
  </si>
  <si>
    <t>Kamu Yatırımının (Ig) Büyümeye Katkısı</t>
  </si>
  <si>
    <t>Özel Yatırımın (Ip) Büyümeye Katkısı</t>
  </si>
  <si>
    <t>Özel Tüketimin (Cp) Büyümeye Katkısı</t>
  </si>
  <si>
    <t>Kamu Tüketiminin (Cg) Büyümeye Katkısı</t>
  </si>
  <si>
    <t>Stok Değişiminin Büyümeye Katkısı</t>
  </si>
  <si>
    <t>Net İhracatın (NX) Büyümeye Katkısı</t>
  </si>
  <si>
    <t>2010-2016</t>
  </si>
  <si>
    <t>Dönem</t>
  </si>
  <si>
    <t>='1.Reel GSYH '!F9/'1.Reel GSYH '!$B9*100</t>
  </si>
  <si>
    <t>Büyümeye Katkı</t>
  </si>
  <si>
    <t>Payların Büyüme Oranı</t>
  </si>
  <si>
    <t>Dayanıklı Tüketim TL milyon</t>
  </si>
  <si>
    <t>Yarı-Dayanıklı Tüketim TL milyon</t>
  </si>
  <si>
    <t>Dayanıklı Olmayan Tüketim TL milyon</t>
  </si>
  <si>
    <t>Hizmetler TL milyon</t>
  </si>
  <si>
    <t>Diğerleri, Mevsimsellikten arındırılmış  TL milyon</t>
  </si>
  <si>
    <t>Toplam Özel Tüketim (Cp) TL milyon</t>
  </si>
  <si>
    <t>Toplam Kamu Tüketim (Cg) TL milyon</t>
  </si>
  <si>
    <t>Toplam Özel ve Kamu GFCF tl milyon</t>
  </si>
  <si>
    <t>Çalışmamda kullandığım veriler</t>
  </si>
  <si>
    <t>https://fred.stlouisfed.org/series/NGDPRSAXDCTRQ</t>
  </si>
  <si>
    <t>https://fred.stlouisfed.org/series/TURPFCEQDSMEI</t>
  </si>
  <si>
    <t>https://fred.stlouisfed.org/series/IGDXEDTRM086NEST</t>
  </si>
  <si>
    <t>https://fred.stlouisfed.org/series/NAEXKP02TRQ189S</t>
  </si>
  <si>
    <t>https://fred.stlouisfed.org/series/TURPITGND02GPM</t>
  </si>
  <si>
    <t>https://fred.stlouisfed.org/series/TURGFCEQDSMEI</t>
  </si>
  <si>
    <t>https://fred.stlouisfed.org/series/TURGFCFQDSMEI</t>
  </si>
  <si>
    <t>https://tradingeconomics.com/turkey/gross-fixed-capital-formation</t>
  </si>
  <si>
    <t>https://fred.stlouisfed.org/series/TURIMPORTQDSMEI</t>
  </si>
  <si>
    <t>https://evds2.tcmb.gov.tr/index.php?/evds/serieMarket/collapse_15/5963/DataGroup/turkish/bie_cdur2/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</si>
</sst>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"/>
    <numFmt numFmtId="166" formatCode="0.0%"/>
    <numFmt numFmtId="167" formatCode="0.00000000"/>
    <numFmt numFmtId="168" formatCode="0.000000"/>
    <numFmt numFmtId="169" formatCode="0.0000000"/>
    <numFmt numFmtId="170" formatCode="#,##0_ ;\-#,##0\ "/>
  </numFmts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Segoe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</font>
    <font>
      <u/>
      <sz val="12"/>
      <color indexed="12"/>
      <name val="Times New Roman"/>
      <family val="1"/>
    </font>
    <font>
      <u/>
      <sz val="9"/>
      <color indexed="12"/>
      <name val="Times New Roman"/>
      <family val="1"/>
    </font>
    <font>
      <sz val="12"/>
      <name val="Times New Roman"/>
      <family val="1"/>
    </font>
    <font>
      <sz val="10"/>
      <name val="MS Sans Serif"/>
      <family val="2"/>
    </font>
    <font>
      <sz val="8"/>
      <name val="Arial"/>
      <family val="2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0"/>
      <name val="Times New Roman"/>
      <family val="1"/>
    </font>
    <font>
      <u/>
      <sz val="10"/>
      <color theme="10"/>
      <name val="Times New Roman"/>
      <family val="1"/>
    </font>
    <font>
      <sz val="11"/>
      <color theme="1"/>
      <name val="Calibri"/>
      <family val="2"/>
      <charset val="162"/>
      <scheme val="minor"/>
    </font>
    <font>
      <sz val="12"/>
      <name val="Arial Tur"/>
      <charset val="162"/>
    </font>
    <font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"/>
      <name val="Segoe UI"/>
      <family val="2"/>
    </font>
    <font>
      <b/>
      <sz val="11"/>
      <color theme="1"/>
      <name val="Segoe UI"/>
      <family val="2"/>
    </font>
    <font>
      <sz val="14"/>
      <color theme="1"/>
      <name val="Segoe UI"/>
      <family val="2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/>
      <name val="Segoe"/>
    </font>
    <font>
      <sz val="10"/>
      <color theme="1"/>
      <name val="Segoe"/>
    </font>
    <font>
      <b/>
      <sz val="10"/>
      <color theme="4" tint="-0.249977111117893"/>
      <name val="Segoe"/>
    </font>
    <font>
      <b/>
      <sz val="10"/>
      <color theme="3"/>
      <name val="Segoe"/>
    </font>
    <font>
      <b/>
      <sz val="10"/>
      <color theme="1"/>
      <name val="Segoe"/>
    </font>
    <font>
      <b/>
      <sz val="10"/>
      <color theme="1"/>
      <name val="Calibri"/>
      <family val="2"/>
      <charset val="162"/>
      <scheme val="minor"/>
    </font>
    <font>
      <sz val="10"/>
      <color theme="3"/>
      <name val="Segoe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4"/>
      <name val="Calibri"/>
      <family val="2"/>
      <scheme val="minor"/>
    </font>
    <font>
      <sz val="10"/>
      <name val="Arial"/>
      <family val="2"/>
      <charset val="162"/>
    </font>
    <font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sz val="10"/>
      <name val="Arial"/>
      <family val="2"/>
      <charset val="162"/>
    </font>
    <font>
      <u/>
      <sz val="12"/>
      <color theme="1"/>
      <name val="Times New Roman"/>
      <family val="1"/>
      <charset val="162"/>
    </font>
    <font>
      <u/>
      <sz val="11"/>
      <color theme="1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  <fill>
      <patternFill patternType="solid">
        <fgColor rgb="FF084A99"/>
        <bgColor indexed="64"/>
      </patternFill>
    </fill>
    <fill>
      <patternFill patternType="solid">
        <fgColor rgb="FF0074BE"/>
        <bgColor indexed="64"/>
      </patternFill>
    </fill>
    <fill>
      <patternFill patternType="solid">
        <fgColor rgb="FF787878"/>
        <bgColor indexed="64"/>
      </patternFill>
    </fill>
    <fill>
      <patternFill patternType="solid">
        <fgColor rgb="FF008FC3"/>
        <bgColor indexed="64"/>
      </patternFill>
    </fill>
    <fill>
      <patternFill patternType="solid">
        <fgColor rgb="FF45A177"/>
        <bgColor indexed="64"/>
      </patternFill>
    </fill>
    <fill>
      <patternFill patternType="solid">
        <fgColor rgb="FFD4CDBC"/>
        <bgColor indexed="64"/>
      </patternFill>
    </fill>
    <fill>
      <patternFill patternType="solid">
        <fgColor rgb="FFA3D8E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8FF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92">
    <xf numFmtId="0" fontId="0" fillId="0" borderId="0"/>
    <xf numFmtId="0" fontId="2" fillId="0" borderId="0"/>
    <xf numFmtId="9" fontId="3" fillId="0" borderId="0" applyFont="0" applyFill="0" applyBorder="0" applyAlignment="0" applyProtection="0"/>
    <xf numFmtId="0" fontId="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8" fillId="0" borderId="0">
      <alignment vertical="top"/>
    </xf>
    <xf numFmtId="0" fontId="8" fillId="0" borderId="0">
      <alignment vertical="top"/>
    </xf>
    <xf numFmtId="0" fontId="3" fillId="0" borderId="0"/>
    <xf numFmtId="0" fontId="13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3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3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6" fillId="0" borderId="0"/>
    <xf numFmtId="0" fontId="16" fillId="0" borderId="0"/>
    <xf numFmtId="0" fontId="4" fillId="0" borderId="0"/>
    <xf numFmtId="0" fontId="3" fillId="0" borderId="0"/>
    <xf numFmtId="0" fontId="11" fillId="0" borderId="0"/>
    <xf numFmtId="0" fontId="4" fillId="0" borderId="0"/>
    <xf numFmtId="0" fontId="13" fillId="0" borderId="0"/>
    <xf numFmtId="0" fontId="18" fillId="0" borderId="0"/>
    <xf numFmtId="0" fontId="19" fillId="5" borderId="0"/>
    <xf numFmtId="164" fontId="1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5" fillId="0" borderId="0"/>
    <xf numFmtId="0" fontId="46" fillId="0" borderId="0" applyNumberFormat="0" applyFill="0" applyBorder="0" applyAlignment="0" applyProtection="0"/>
    <xf numFmtId="0" fontId="47" fillId="0" borderId="20" applyNumberFormat="0" applyFill="0" applyAlignment="0" applyProtection="0"/>
    <xf numFmtId="0" fontId="48" fillId="0" borderId="21" applyNumberFormat="0" applyFill="0" applyAlignment="0" applyProtection="0"/>
    <xf numFmtId="0" fontId="49" fillId="0" borderId="22" applyNumberFormat="0" applyFill="0" applyAlignment="0" applyProtection="0"/>
    <xf numFmtId="0" fontId="49" fillId="0" borderId="0" applyNumberFormat="0" applyFill="0" applyBorder="0" applyAlignment="0" applyProtection="0"/>
    <xf numFmtId="0" fontId="50" fillId="15" borderId="0" applyNumberFormat="0" applyBorder="0" applyAlignment="0" applyProtection="0"/>
    <xf numFmtId="0" fontId="51" fillId="16" borderId="0" applyNumberFormat="0" applyBorder="0" applyAlignment="0" applyProtection="0"/>
    <xf numFmtId="0" fontId="52" fillId="17" borderId="0" applyNumberFormat="0" applyBorder="0" applyAlignment="0" applyProtection="0"/>
    <xf numFmtId="0" fontId="53" fillId="18" borderId="23" applyNumberFormat="0" applyAlignment="0" applyProtection="0"/>
    <xf numFmtId="0" fontId="54" fillId="19" borderId="24" applyNumberFormat="0" applyAlignment="0" applyProtection="0"/>
    <xf numFmtId="0" fontId="55" fillId="19" borderId="23" applyNumberFormat="0" applyAlignment="0" applyProtection="0"/>
    <xf numFmtId="0" fontId="56" fillId="0" borderId="25" applyNumberFormat="0" applyFill="0" applyAlignment="0" applyProtection="0"/>
    <xf numFmtId="0" fontId="57" fillId="20" borderId="26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28" applyNumberFormat="0" applyFill="0" applyAlignment="0" applyProtection="0"/>
    <xf numFmtId="0" fontId="6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6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6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6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6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62" fillId="0" borderId="0"/>
    <xf numFmtId="0" fontId="63" fillId="0" borderId="0"/>
    <xf numFmtId="0" fontId="1" fillId="21" borderId="27" applyNumberFormat="0" applyFont="0" applyAlignment="0" applyProtection="0"/>
    <xf numFmtId="0" fontId="65" fillId="0" borderId="0" applyNumberFormat="0" applyFill="0" applyBorder="0" applyAlignment="0" applyProtection="0"/>
  </cellStyleXfs>
  <cellXfs count="219">
    <xf numFmtId="0" fontId="0" fillId="0" borderId="0" xfId="0"/>
    <xf numFmtId="0" fontId="0" fillId="4" borderId="0" xfId="0" applyFill="1"/>
    <xf numFmtId="0" fontId="0" fillId="4" borderId="0" xfId="0" quotePrefix="1" applyFill="1"/>
    <xf numFmtId="0" fontId="0" fillId="0" borderId="0" xfId="0"/>
    <xf numFmtId="0" fontId="0" fillId="4" borderId="0" xfId="0" applyFill="1"/>
    <xf numFmtId="0" fontId="20" fillId="4" borderId="0" xfId="0" applyFont="1" applyFill="1"/>
    <xf numFmtId="0" fontId="20" fillId="4" borderId="0" xfId="0" quotePrefix="1" applyFont="1" applyFill="1"/>
    <xf numFmtId="0" fontId="21" fillId="4" borderId="0" xfId="0" applyFont="1" applyFill="1"/>
    <xf numFmtId="0" fontId="22" fillId="4" borderId="0" xfId="0" applyFont="1" applyFill="1"/>
    <xf numFmtId="165" fontId="5" fillId="0" borderId="0" xfId="0" applyNumberFormat="1" applyFont="1"/>
    <xf numFmtId="0" fontId="4" fillId="3" borderId="0" xfId="41" applyFill="1"/>
    <xf numFmtId="0" fontId="4" fillId="0" borderId="0" xfId="41" applyFill="1" applyAlignment="1"/>
    <xf numFmtId="0" fontId="4" fillId="0" borderId="0" xfId="41"/>
    <xf numFmtId="0" fontId="4" fillId="2" borderId="0" xfId="41" applyFill="1" applyAlignment="1">
      <alignment horizontal="center"/>
    </xf>
    <xf numFmtId="0" fontId="4" fillId="2" borderId="0" xfId="41" applyFill="1"/>
    <xf numFmtId="0" fontId="4" fillId="2" borderId="0" xfId="41" applyFill="1" applyAlignment="1">
      <alignment horizontal="center" wrapText="1"/>
    </xf>
    <xf numFmtId="0" fontId="4" fillId="0" borderId="0" xfId="41" applyAlignment="1">
      <alignment horizontal="center"/>
    </xf>
    <xf numFmtId="0" fontId="0" fillId="2" borderId="0" xfId="41" applyFont="1" applyFill="1" applyAlignment="1">
      <alignment horizontal="center" wrapText="1"/>
    </xf>
    <xf numFmtId="0" fontId="24" fillId="0" borderId="0" xfId="41" applyFont="1" applyAlignment="1">
      <alignment horizontal="center"/>
    </xf>
    <xf numFmtId="0" fontId="25" fillId="0" borderId="0" xfId="41" applyFont="1" applyAlignment="1">
      <alignment horizontal="center"/>
    </xf>
    <xf numFmtId="0" fontId="24" fillId="0" borderId="0" xfId="41" applyFont="1"/>
    <xf numFmtId="0" fontId="24" fillId="3" borderId="0" xfId="41" applyFont="1" applyFill="1" applyAlignment="1">
      <alignment horizontal="center"/>
    </xf>
    <xf numFmtId="0" fontId="23" fillId="3" borderId="0" xfId="41" applyFont="1" applyFill="1" applyAlignment="1"/>
    <xf numFmtId="0" fontId="26" fillId="3" borderId="0" xfId="41" applyFont="1" applyFill="1" applyAlignment="1">
      <alignment horizontal="center"/>
    </xf>
    <xf numFmtId="0" fontId="6" fillId="3" borderId="0" xfId="41" applyFont="1" applyFill="1"/>
    <xf numFmtId="0" fontId="27" fillId="3" borderId="0" xfId="41" applyFont="1" applyFill="1" applyAlignment="1">
      <alignment horizontal="left"/>
    </xf>
    <xf numFmtId="0" fontId="27" fillId="3" borderId="0" xfId="41" applyFont="1" applyFill="1" applyAlignment="1"/>
    <xf numFmtId="0" fontId="27" fillId="3" borderId="0" xfId="41" applyFont="1" applyFill="1" applyAlignment="1">
      <alignment horizontal="center"/>
    </xf>
    <xf numFmtId="0" fontId="0" fillId="6" borderId="0" xfId="0" applyFill="1"/>
    <xf numFmtId="0" fontId="28" fillId="6" borderId="0" xfId="0" applyFont="1" applyFill="1" applyAlignment="1">
      <alignment horizontal="left"/>
    </xf>
    <xf numFmtId="0" fontId="0" fillId="6" borderId="0" xfId="0" applyFill="1" applyAlignment="1">
      <alignment horizontal="center"/>
    </xf>
    <xf numFmtId="0" fontId="0" fillId="7" borderId="10" xfId="0" applyFill="1" applyBorder="1"/>
    <xf numFmtId="0" fontId="29" fillId="7" borderId="10" xfId="0" applyFont="1" applyFill="1" applyBorder="1" applyAlignment="1">
      <alignment horizontal="left"/>
    </xf>
    <xf numFmtId="0" fontId="0" fillId="7" borderId="10" xfId="0" applyFill="1" applyBorder="1" applyAlignment="1">
      <alignment horizontal="center"/>
    </xf>
    <xf numFmtId="0" fontId="30" fillId="8" borderId="0" xfId="0" applyFont="1" applyFill="1"/>
    <xf numFmtId="0" fontId="31" fillId="8" borderId="0" xfId="0" applyFont="1" applyFill="1" applyBorder="1" applyAlignment="1">
      <alignment vertical="center"/>
    </xf>
    <xf numFmtId="0" fontId="31" fillId="8" borderId="8" xfId="0" applyFont="1" applyFill="1" applyBorder="1" applyAlignment="1">
      <alignment vertical="top" wrapText="1"/>
    </xf>
    <xf numFmtId="0" fontId="32" fillId="6" borderId="0" xfId="0" applyFont="1" applyFill="1"/>
    <xf numFmtId="0" fontId="33" fillId="6" borderId="0" xfId="0" applyFont="1" applyFill="1" applyAlignment="1">
      <alignment horizontal="left"/>
    </xf>
    <xf numFmtId="0" fontId="32" fillId="6" borderId="0" xfId="0" applyFont="1" applyFill="1" applyAlignment="1">
      <alignment horizontal="center"/>
    </xf>
    <xf numFmtId="0" fontId="32" fillId="0" borderId="0" xfId="0" applyFont="1"/>
    <xf numFmtId="0" fontId="32" fillId="7" borderId="10" xfId="0" applyFont="1" applyFill="1" applyBorder="1"/>
    <xf numFmtId="0" fontId="33" fillId="7" borderId="10" xfId="0" applyFont="1" applyFill="1" applyBorder="1" applyAlignment="1">
      <alignment horizontal="left"/>
    </xf>
    <xf numFmtId="0" fontId="32" fillId="7" borderId="10" xfId="0" applyFont="1" applyFill="1" applyBorder="1" applyAlignment="1">
      <alignment horizontal="center"/>
    </xf>
    <xf numFmtId="0" fontId="34" fillId="8" borderId="0" xfId="0" applyFont="1" applyFill="1"/>
    <xf numFmtId="0" fontId="33" fillId="8" borderId="0" xfId="0" applyFont="1" applyFill="1" applyBorder="1" applyAlignment="1">
      <alignment vertical="center"/>
    </xf>
    <xf numFmtId="0" fontId="35" fillId="8" borderId="0" xfId="0" applyFont="1" applyFill="1"/>
    <xf numFmtId="0" fontId="36" fillId="4" borderId="0" xfId="0" applyFont="1" applyFill="1"/>
    <xf numFmtId="0" fontId="37" fillId="4" borderId="0" xfId="0" applyFont="1" applyFill="1" applyAlignment="1">
      <alignment vertical="center"/>
    </xf>
    <xf numFmtId="0" fontId="36" fillId="4" borderId="0" xfId="0" applyFont="1" applyFill="1" applyAlignment="1">
      <alignment horizontal="center" vertical="center"/>
    </xf>
    <xf numFmtId="0" fontId="38" fillId="4" borderId="0" xfId="0" applyFont="1" applyFill="1"/>
    <xf numFmtId="0" fontId="32" fillId="4" borderId="0" xfId="0" applyFont="1" applyFill="1"/>
    <xf numFmtId="0" fontId="32" fillId="0" borderId="0" xfId="0" quotePrefix="1" applyFont="1" applyFill="1"/>
    <xf numFmtId="165" fontId="32" fillId="0" borderId="1" xfId="0" quotePrefix="1" applyNumberFormat="1" applyFont="1" applyBorder="1"/>
    <xf numFmtId="165" fontId="32" fillId="4" borderId="0" xfId="0" quotePrefix="1" applyNumberFormat="1" applyFont="1" applyFill="1" applyBorder="1"/>
    <xf numFmtId="165" fontId="32" fillId="0" borderId="9" xfId="0" quotePrefix="1" applyNumberFormat="1" applyFont="1" applyBorder="1" applyAlignment="1">
      <alignment wrapText="1"/>
    </xf>
    <xf numFmtId="0" fontId="33" fillId="9" borderId="5" xfId="0" applyFont="1" applyFill="1" applyBorder="1" applyAlignment="1">
      <alignment vertical="center" wrapText="1"/>
    </xf>
    <xf numFmtId="0" fontId="33" fillId="9" borderId="7" xfId="0" applyFont="1" applyFill="1" applyBorder="1" applyAlignment="1">
      <alignment vertical="center" wrapText="1"/>
    </xf>
    <xf numFmtId="0" fontId="33" fillId="9" borderId="7" xfId="0" applyFont="1" applyFill="1" applyBorder="1" applyAlignment="1">
      <alignment horizontal="center" vertical="center" wrapText="1"/>
    </xf>
    <xf numFmtId="0" fontId="39" fillId="4" borderId="0" xfId="0" applyFont="1" applyFill="1" applyAlignment="1">
      <alignment horizontal="center" vertical="center" wrapText="1"/>
    </xf>
    <xf numFmtId="0" fontId="33" fillId="10" borderId="2" xfId="0" applyFont="1" applyFill="1" applyBorder="1" applyAlignment="1">
      <alignment horizontal="center" vertical="center" wrapText="1"/>
    </xf>
    <xf numFmtId="0" fontId="33" fillId="10" borderId="10" xfId="0" applyFont="1" applyFill="1" applyBorder="1" applyAlignment="1">
      <alignment horizontal="center" vertical="center" wrapText="1"/>
    </xf>
    <xf numFmtId="0" fontId="33" fillId="10" borderId="6" xfId="0" applyFont="1" applyFill="1" applyBorder="1" applyAlignment="1">
      <alignment horizontal="center" vertical="center" wrapText="1"/>
    </xf>
    <xf numFmtId="0" fontId="33" fillId="10" borderId="0" xfId="0" applyFont="1" applyFill="1" applyBorder="1" applyAlignment="1">
      <alignment horizontal="center" vertical="center" wrapText="1"/>
    </xf>
    <xf numFmtId="0" fontId="33" fillId="10" borderId="7" xfId="0" applyFont="1" applyFill="1" applyBorder="1" applyAlignment="1">
      <alignment horizontal="center" vertical="center" wrapText="1"/>
    </xf>
    <xf numFmtId="0" fontId="33" fillId="10" borderId="11" xfId="0" applyFont="1" applyFill="1" applyBorder="1" applyAlignment="1">
      <alignment horizontal="center" vertical="center" wrapText="1"/>
    </xf>
    <xf numFmtId="0" fontId="39" fillId="0" borderId="0" xfId="0" applyFont="1" applyFill="1" applyAlignment="1">
      <alignment horizontal="center" vertical="center" wrapText="1"/>
    </xf>
    <xf numFmtId="0" fontId="39" fillId="4" borderId="0" xfId="0" applyFont="1" applyFill="1" applyAlignment="1">
      <alignment horizontal="center" vertical="center"/>
    </xf>
    <xf numFmtId="0" fontId="36" fillId="4" borderId="0" xfId="0" applyFont="1" applyFill="1" applyAlignment="1">
      <alignment vertical="center"/>
    </xf>
    <xf numFmtId="1" fontId="40" fillId="13" borderId="9" xfId="0" quotePrefix="1" applyNumberFormat="1" applyFont="1" applyFill="1" applyBorder="1"/>
    <xf numFmtId="165" fontId="32" fillId="0" borderId="1" xfId="0" applyNumberFormat="1" applyFont="1" applyFill="1" applyBorder="1" applyAlignment="1">
      <alignment horizontal="center" vertical="center"/>
    </xf>
    <xf numFmtId="1" fontId="40" fillId="12" borderId="1" xfId="0" quotePrefix="1" applyNumberFormat="1" applyFont="1" applyFill="1" applyBorder="1"/>
    <xf numFmtId="1" fontId="32" fillId="0" borderId="0" xfId="0" applyNumberFormat="1" applyFont="1" applyBorder="1"/>
    <xf numFmtId="1" fontId="32" fillId="0" borderId="8" xfId="0" applyNumberFormat="1" applyFont="1" applyBorder="1"/>
    <xf numFmtId="165" fontId="32" fillId="0" borderId="0" xfId="0" applyNumberFormat="1" applyFont="1"/>
    <xf numFmtId="165" fontId="32" fillId="4" borderId="1" xfId="0" quotePrefix="1" applyNumberFormat="1" applyFont="1" applyFill="1" applyBorder="1"/>
    <xf numFmtId="165" fontId="40" fillId="13" borderId="1" xfId="0" quotePrefix="1" applyNumberFormat="1" applyFont="1" applyFill="1" applyBorder="1"/>
    <xf numFmtId="165" fontId="32" fillId="0" borderId="0" xfId="0" applyNumberFormat="1" applyFont="1" applyBorder="1"/>
    <xf numFmtId="165" fontId="32" fillId="12" borderId="0" xfId="0" quotePrefix="1" applyNumberFormat="1" applyFont="1" applyFill="1" applyBorder="1"/>
    <xf numFmtId="165" fontId="32" fillId="0" borderId="9" xfId="0" applyNumberFormat="1" applyFont="1" applyBorder="1"/>
    <xf numFmtId="165" fontId="32" fillId="0" borderId="3" xfId="0" applyNumberFormat="1" applyFont="1" applyBorder="1"/>
    <xf numFmtId="165" fontId="32" fillId="0" borderId="1" xfId="0" applyNumberFormat="1" applyFont="1" applyBorder="1"/>
    <xf numFmtId="165" fontId="32" fillId="13" borderId="9" xfId="0" quotePrefix="1" applyNumberFormat="1" applyFont="1" applyFill="1" applyBorder="1" applyAlignment="1">
      <alignment wrapText="1"/>
    </xf>
    <xf numFmtId="1" fontId="32" fillId="0" borderId="0" xfId="0" applyNumberFormat="1" applyFont="1"/>
    <xf numFmtId="1" fontId="32" fillId="0" borderId="0" xfId="0" applyNumberFormat="1" applyFont="1" applyFill="1"/>
    <xf numFmtId="1" fontId="32" fillId="13" borderId="9" xfId="0" quotePrefix="1" applyNumberFormat="1" applyFont="1" applyFill="1" applyBorder="1"/>
    <xf numFmtId="165" fontId="32" fillId="13" borderId="1" xfId="0" applyNumberFormat="1" applyFont="1" applyFill="1" applyBorder="1"/>
    <xf numFmtId="165" fontId="32" fillId="13" borderId="9" xfId="0" applyNumberFormat="1" applyFont="1" applyFill="1" applyBorder="1" applyAlignment="1">
      <alignment wrapText="1"/>
    </xf>
    <xf numFmtId="165" fontId="32" fillId="0" borderId="1" xfId="0" applyNumberFormat="1" applyFont="1" applyBorder="1" applyAlignment="1">
      <alignment horizontal="center" vertical="center"/>
    </xf>
    <xf numFmtId="0" fontId="32" fillId="0" borderId="0" xfId="0" applyFont="1" applyFill="1"/>
    <xf numFmtId="0" fontId="32" fillId="0" borderId="10" xfId="0" applyFont="1" applyBorder="1"/>
    <xf numFmtId="165" fontId="32" fillId="0" borderId="2" xfId="0" applyNumberFormat="1" applyFont="1" applyBorder="1" applyAlignment="1">
      <alignment horizontal="center" vertical="center"/>
    </xf>
    <xf numFmtId="1" fontId="32" fillId="0" borderId="10" xfId="0" applyNumberFormat="1" applyFont="1" applyBorder="1"/>
    <xf numFmtId="165" fontId="32" fillId="0" borderId="10" xfId="0" applyNumberFormat="1" applyFont="1" applyBorder="1"/>
    <xf numFmtId="165" fontId="32" fillId="0" borderId="11" xfId="0" applyNumberFormat="1" applyFont="1" applyBorder="1"/>
    <xf numFmtId="165" fontId="32" fillId="0" borderId="4" xfId="0" applyNumberFormat="1" applyFont="1" applyBorder="1"/>
    <xf numFmtId="165" fontId="32" fillId="0" borderId="2" xfId="0" applyNumberFormat="1" applyFont="1" applyBorder="1"/>
    <xf numFmtId="0" fontId="32" fillId="0" borderId="0" xfId="0" applyFont="1" applyAlignment="1">
      <alignment horizontal="center" vertical="center"/>
    </xf>
    <xf numFmtId="0" fontId="32" fillId="0" borderId="0" xfId="0" applyFont="1" applyBorder="1"/>
    <xf numFmtId="1" fontId="32" fillId="4" borderId="0" xfId="0" quotePrefix="1" applyNumberFormat="1" applyFont="1" applyFill="1" applyBorder="1"/>
    <xf numFmtId="0" fontId="32" fillId="0" borderId="10" xfId="0" quotePrefix="1" applyFont="1" applyFill="1" applyBorder="1"/>
    <xf numFmtId="1" fontId="36" fillId="4" borderId="0" xfId="0" applyNumberFormat="1" applyFont="1" applyFill="1"/>
    <xf numFmtId="0" fontId="41" fillId="0" borderId="0" xfId="0" applyFont="1" applyFill="1" applyAlignment="1">
      <alignment horizontal="center"/>
    </xf>
    <xf numFmtId="165" fontId="32" fillId="0" borderId="0" xfId="0" quotePrefix="1" applyNumberFormat="1" applyFont="1" applyFill="1"/>
    <xf numFmtId="0" fontId="36" fillId="4" borderId="0" xfId="0" quotePrefix="1" applyFont="1" applyFill="1"/>
    <xf numFmtId="0" fontId="36" fillId="0" borderId="0" xfId="0" applyFont="1" applyFill="1"/>
    <xf numFmtId="165" fontId="32" fillId="0" borderId="0" xfId="0" quotePrefix="1" applyNumberFormat="1" applyFont="1" applyBorder="1"/>
    <xf numFmtId="165" fontId="32" fillId="0" borderId="9" xfId="0" quotePrefix="1" applyNumberFormat="1" applyFont="1" applyBorder="1"/>
    <xf numFmtId="165" fontId="32" fillId="0" borderId="9" xfId="0" quotePrefix="1" applyNumberFormat="1" applyFont="1" applyFill="1" applyBorder="1"/>
    <xf numFmtId="165" fontId="32" fillId="0" borderId="0" xfId="0" applyNumberFormat="1" applyFont="1" applyFill="1"/>
    <xf numFmtId="165" fontId="32" fillId="0" borderId="10" xfId="0" quotePrefix="1" applyNumberFormat="1" applyFont="1" applyFill="1" applyBorder="1"/>
    <xf numFmtId="165" fontId="32" fillId="0" borderId="10" xfId="0" quotePrefix="1" applyNumberFormat="1" applyFont="1" applyBorder="1"/>
    <xf numFmtId="165" fontId="32" fillId="0" borderId="2" xfId="0" quotePrefix="1" applyNumberFormat="1" applyFont="1" applyBorder="1"/>
    <xf numFmtId="165" fontId="32" fillId="0" borderId="11" xfId="0" quotePrefix="1" applyNumberFormat="1" applyFont="1" applyBorder="1"/>
    <xf numFmtId="165" fontId="32" fillId="0" borderId="11" xfId="0" quotePrefix="1" applyNumberFormat="1" applyFont="1" applyFill="1" applyBorder="1"/>
    <xf numFmtId="165" fontId="32" fillId="0" borderId="0" xfId="0" quotePrefix="1" applyNumberFormat="1" applyFont="1" applyFill="1" applyBorder="1"/>
    <xf numFmtId="165" fontId="32" fillId="0" borderId="8" xfId="0" quotePrefix="1" applyNumberFormat="1" applyFont="1" applyBorder="1"/>
    <xf numFmtId="0" fontId="32" fillId="0" borderId="8" xfId="0" applyFont="1" applyBorder="1"/>
    <xf numFmtId="165" fontId="32" fillId="0" borderId="8" xfId="0" applyNumberFormat="1" applyFont="1" applyBorder="1"/>
    <xf numFmtId="0" fontId="42" fillId="0" borderId="10" xfId="0" applyFont="1" applyFill="1" applyBorder="1" applyAlignment="1">
      <alignment vertical="center"/>
    </xf>
    <xf numFmtId="0" fontId="32" fillId="4" borderId="16" xfId="0" applyFont="1" applyFill="1" applyBorder="1"/>
    <xf numFmtId="165" fontId="32" fillId="0" borderId="17" xfId="0" applyNumberFormat="1" applyFont="1" applyBorder="1"/>
    <xf numFmtId="0" fontId="32" fillId="4" borderId="1" xfId="0" applyFont="1" applyFill="1" applyBorder="1"/>
    <xf numFmtId="0" fontId="32" fillId="4" borderId="2" xfId="0" applyFont="1" applyFill="1" applyBorder="1"/>
    <xf numFmtId="166" fontId="42" fillId="11" borderId="12" xfId="46" applyNumberFormat="1" applyFont="1" applyFill="1" applyBorder="1"/>
    <xf numFmtId="166" fontId="32" fillId="11" borderId="12" xfId="46" applyNumberFormat="1" applyFont="1" applyFill="1" applyBorder="1" applyAlignment="1">
      <alignment horizontal="center"/>
    </xf>
    <xf numFmtId="166" fontId="32" fillId="11" borderId="13" xfId="46" applyNumberFormat="1" applyFont="1" applyFill="1" applyBorder="1" applyAlignment="1">
      <alignment horizontal="center"/>
    </xf>
    <xf numFmtId="166" fontId="32" fillId="11" borderId="3" xfId="46" applyNumberFormat="1" applyFont="1" applyFill="1" applyBorder="1"/>
    <xf numFmtId="165" fontId="32" fillId="11" borderId="3" xfId="46" applyNumberFormat="1" applyFont="1" applyFill="1" applyBorder="1"/>
    <xf numFmtId="165" fontId="32" fillId="11" borderId="9" xfId="46" applyNumberFormat="1" applyFont="1" applyFill="1" applyBorder="1"/>
    <xf numFmtId="166" fontId="32" fillId="11" borderId="14" xfId="46" applyNumberFormat="1" applyFont="1" applyFill="1" applyBorder="1"/>
    <xf numFmtId="165" fontId="32" fillId="11" borderId="14" xfId="46" applyNumberFormat="1" applyFont="1" applyFill="1" applyBorder="1"/>
    <xf numFmtId="165" fontId="32" fillId="11" borderId="15" xfId="46" applyNumberFormat="1" applyFont="1" applyFill="1" applyBorder="1"/>
    <xf numFmtId="166" fontId="42" fillId="11" borderId="4" xfId="46" applyNumberFormat="1" applyFont="1" applyFill="1" applyBorder="1"/>
    <xf numFmtId="165" fontId="42" fillId="11" borderId="4" xfId="46" applyNumberFormat="1" applyFont="1" applyFill="1" applyBorder="1"/>
    <xf numFmtId="165" fontId="42" fillId="11" borderId="11" xfId="46" applyNumberFormat="1" applyFont="1" applyFill="1" applyBorder="1"/>
    <xf numFmtId="0" fontId="37" fillId="4" borderId="0" xfId="0" applyFont="1" applyFill="1" applyAlignment="1">
      <alignment horizontal="left" vertical="center"/>
    </xf>
    <xf numFmtId="0" fontId="32" fillId="0" borderId="0" xfId="0" quotePrefix="1" applyFont="1" applyFill="1" applyBorder="1" applyAlignment="1">
      <alignment horizontal="center"/>
    </xf>
    <xf numFmtId="0" fontId="32" fillId="0" borderId="10" xfId="0" quotePrefix="1" applyFont="1" applyFill="1" applyBorder="1" applyAlignment="1">
      <alignment horizontal="center"/>
    </xf>
    <xf numFmtId="0" fontId="32" fillId="0" borderId="11" xfId="0" quotePrefix="1" applyFont="1" applyFill="1" applyBorder="1" applyAlignment="1">
      <alignment horizontal="center"/>
    </xf>
    <xf numFmtId="1" fontId="32" fillId="0" borderId="9" xfId="0" applyNumberFormat="1" applyFont="1" applyFill="1" applyBorder="1"/>
    <xf numFmtId="1" fontId="32" fillId="0" borderId="1" xfId="0" applyNumberFormat="1" applyFont="1" applyFill="1" applyBorder="1"/>
    <xf numFmtId="1" fontId="32" fillId="0" borderId="0" xfId="0" quotePrefix="1" applyNumberFormat="1" applyFont="1" applyFill="1" applyBorder="1"/>
    <xf numFmtId="1" fontId="32" fillId="0" borderId="0" xfId="0" applyNumberFormat="1" applyFont="1" applyFill="1" applyBorder="1"/>
    <xf numFmtId="165" fontId="32" fillId="0" borderId="0" xfId="0" applyNumberFormat="1" applyFont="1" applyFill="1" applyBorder="1"/>
    <xf numFmtId="165" fontId="32" fillId="0" borderId="9" xfId="0" applyNumberFormat="1" applyFont="1" applyFill="1" applyBorder="1"/>
    <xf numFmtId="165" fontId="32" fillId="4" borderId="3" xfId="0" quotePrefix="1" applyNumberFormat="1" applyFont="1" applyFill="1" applyBorder="1"/>
    <xf numFmtId="165" fontId="32" fillId="0" borderId="1" xfId="0" applyNumberFormat="1" applyFont="1" applyFill="1" applyBorder="1"/>
    <xf numFmtId="165" fontId="32" fillId="14" borderId="1" xfId="0" quotePrefix="1" applyNumberFormat="1" applyFont="1" applyFill="1" applyBorder="1"/>
    <xf numFmtId="165" fontId="32" fillId="14" borderId="0" xfId="0" quotePrefix="1" applyNumberFormat="1" applyFont="1" applyFill="1" applyBorder="1"/>
    <xf numFmtId="165" fontId="32" fillId="14" borderId="9" xfId="0" quotePrefix="1" applyNumberFormat="1" applyFont="1" applyFill="1" applyBorder="1"/>
    <xf numFmtId="165" fontId="32" fillId="12" borderId="3" xfId="0" quotePrefix="1" applyNumberFormat="1" applyFont="1" applyFill="1" applyBorder="1"/>
    <xf numFmtId="165" fontId="32" fillId="12" borderId="1" xfId="0" quotePrefix="1" applyNumberFormat="1" applyFont="1" applyFill="1" applyBorder="1"/>
    <xf numFmtId="165" fontId="32" fillId="14" borderId="1" xfId="0" applyNumberFormat="1" applyFont="1" applyFill="1" applyBorder="1"/>
    <xf numFmtId="165" fontId="32" fillId="14" borderId="0" xfId="0" applyNumberFormat="1" applyFont="1" applyFill="1" applyBorder="1"/>
    <xf numFmtId="165" fontId="32" fillId="14" borderId="9" xfId="0" applyNumberFormat="1" applyFont="1" applyFill="1" applyBorder="1"/>
    <xf numFmtId="1" fontId="32" fillId="0" borderId="11" xfId="0" applyNumberFormat="1" applyFont="1" applyFill="1" applyBorder="1"/>
    <xf numFmtId="0" fontId="32" fillId="0" borderId="10" xfId="0" applyFont="1" applyFill="1" applyBorder="1"/>
    <xf numFmtId="1" fontId="32" fillId="0" borderId="2" xfId="0" applyNumberFormat="1" applyFont="1" applyFill="1" applyBorder="1"/>
    <xf numFmtId="1" fontId="32" fillId="0" borderId="10" xfId="0" applyNumberFormat="1" applyFont="1" applyFill="1" applyBorder="1"/>
    <xf numFmtId="165" fontId="32" fillId="0" borderId="10" xfId="0" applyNumberFormat="1" applyFont="1" applyFill="1" applyBorder="1"/>
    <xf numFmtId="1" fontId="32" fillId="0" borderId="8" xfId="0" applyNumberFormat="1" applyFont="1" applyFill="1" applyBorder="1"/>
    <xf numFmtId="0" fontId="32" fillId="0" borderId="8" xfId="0" applyFont="1" applyFill="1" applyBorder="1"/>
    <xf numFmtId="165" fontId="32" fillId="0" borderId="8" xfId="0" applyNumberFormat="1" applyFont="1" applyFill="1" applyBorder="1"/>
    <xf numFmtId="165" fontId="32" fillId="0" borderId="8" xfId="0" quotePrefix="1" applyNumberFormat="1" applyFont="1" applyFill="1" applyBorder="1"/>
    <xf numFmtId="0" fontId="36" fillId="0" borderId="0" xfId="0" applyFont="1" applyFill="1" applyBorder="1"/>
    <xf numFmtId="165" fontId="32" fillId="0" borderId="17" xfId="0" quotePrefix="1" applyNumberFormat="1" applyFont="1" applyBorder="1"/>
    <xf numFmtId="0" fontId="32" fillId="4" borderId="0" xfId="0" quotePrefix="1" applyFont="1" applyFill="1"/>
    <xf numFmtId="0" fontId="32" fillId="4" borderId="10" xfId="0" applyFont="1" applyFill="1" applyBorder="1"/>
    <xf numFmtId="0" fontId="33" fillId="9" borderId="6" xfId="0" applyFont="1" applyFill="1" applyBorder="1" applyAlignment="1">
      <alignment horizontal="center" vertical="center" wrapText="1"/>
    </xf>
    <xf numFmtId="1" fontId="32" fillId="0" borderId="3" xfId="0" applyNumberFormat="1" applyFont="1" applyBorder="1"/>
    <xf numFmtId="1" fontId="32" fillId="0" borderId="16" xfId="0" applyNumberFormat="1" applyFont="1" applyBorder="1"/>
    <xf numFmtId="1" fontId="32" fillId="0" borderId="17" xfId="0" applyNumberFormat="1" applyFont="1" applyBorder="1"/>
    <xf numFmtId="165" fontId="32" fillId="12" borderId="19" xfId="0" quotePrefix="1" applyNumberFormat="1" applyFont="1" applyFill="1" applyBorder="1"/>
    <xf numFmtId="165" fontId="32" fillId="0" borderId="18" xfId="0" applyNumberFormat="1" applyFont="1" applyBorder="1"/>
    <xf numFmtId="1" fontId="32" fillId="0" borderId="1" xfId="0" applyNumberFormat="1" applyFont="1" applyBorder="1"/>
    <xf numFmtId="1" fontId="32" fillId="0" borderId="9" xfId="0" applyNumberFormat="1" applyFont="1" applyBorder="1"/>
    <xf numFmtId="1" fontId="32" fillId="0" borderId="2" xfId="0" applyNumberFormat="1" applyFont="1" applyBorder="1"/>
    <xf numFmtId="1" fontId="32" fillId="0" borderId="11" xfId="0" applyNumberFormat="1" applyFont="1" applyBorder="1"/>
    <xf numFmtId="0" fontId="32" fillId="0" borderId="0" xfId="0" applyFont="1" applyFill="1" applyBorder="1"/>
    <xf numFmtId="0" fontId="43" fillId="4" borderId="0" xfId="0" applyFont="1" applyFill="1"/>
    <xf numFmtId="0" fontId="44" fillId="0" borderId="0" xfId="0" applyFont="1" applyFill="1"/>
    <xf numFmtId="0" fontId="32" fillId="0" borderId="3" xfId="0" applyFont="1" applyBorder="1"/>
    <xf numFmtId="0" fontId="32" fillId="0" borderId="4" xfId="0" applyFont="1" applyBorder="1"/>
    <xf numFmtId="165" fontId="32" fillId="4" borderId="16" xfId="0" quotePrefix="1" applyNumberFormat="1" applyFont="1" applyFill="1" applyBorder="1"/>
    <xf numFmtId="165" fontId="32" fillId="12" borderId="8" xfId="0" quotePrefix="1" applyNumberFormat="1" applyFont="1" applyFill="1" applyBorder="1"/>
    <xf numFmtId="165" fontId="32" fillId="0" borderId="16" xfId="0" quotePrefix="1" applyNumberFormat="1" applyFont="1" applyBorder="1"/>
    <xf numFmtId="165" fontId="32" fillId="0" borderId="17" xfId="0" quotePrefix="1" applyNumberFormat="1" applyFont="1" applyFill="1" applyBorder="1"/>
    <xf numFmtId="165" fontId="32" fillId="0" borderId="16" xfId="0" applyNumberFormat="1" applyFont="1" applyBorder="1"/>
    <xf numFmtId="0" fontId="32" fillId="4" borderId="18" xfId="0" applyFont="1" applyFill="1" applyBorder="1"/>
    <xf numFmtId="0" fontId="32" fillId="4" borderId="3" xfId="0" applyFont="1" applyFill="1" applyBorder="1"/>
    <xf numFmtId="0" fontId="32" fillId="4" borderId="4" xfId="0" applyFont="1" applyFill="1" applyBorder="1"/>
    <xf numFmtId="0" fontId="32" fillId="0" borderId="0" xfId="0" applyFont="1" applyAlignment="1">
      <alignment horizontal="right"/>
    </xf>
    <xf numFmtId="167" fontId="45" fillId="0" borderId="0" xfId="47" applyNumberFormat="1"/>
    <xf numFmtId="168" fontId="45" fillId="0" borderId="0" xfId="47" applyNumberFormat="1"/>
    <xf numFmtId="2" fontId="45" fillId="0" borderId="0" xfId="47" applyNumberFormat="1"/>
    <xf numFmtId="2" fontId="45" fillId="0" borderId="0" xfId="47" applyNumberFormat="1"/>
    <xf numFmtId="2" fontId="45" fillId="0" borderId="0" xfId="47" applyNumberFormat="1"/>
    <xf numFmtId="168" fontId="45" fillId="0" borderId="0" xfId="47" applyNumberFormat="1"/>
    <xf numFmtId="4" fontId="62" fillId="0" borderId="0" xfId="88" applyNumberFormat="1"/>
    <xf numFmtId="169" fontId="63" fillId="0" borderId="0" xfId="89" applyNumberFormat="1"/>
    <xf numFmtId="170" fontId="13" fillId="46" borderId="29" xfId="0" applyNumberFormat="1" applyFont="1" applyFill="1" applyBorder="1" applyAlignment="1">
      <alignment horizontal="right"/>
    </xf>
    <xf numFmtId="170" fontId="13" fillId="0" borderId="29" xfId="0" applyNumberFormat="1" applyFont="1" applyBorder="1" applyAlignment="1">
      <alignment horizontal="right"/>
    </xf>
    <xf numFmtId="168" fontId="45" fillId="0" borderId="0" xfId="47" applyNumberFormat="1"/>
    <xf numFmtId="169" fontId="45" fillId="0" borderId="0" xfId="47" applyNumberFormat="1"/>
    <xf numFmtId="0" fontId="64" fillId="0" borderId="0" xfId="0" applyFont="1" applyAlignment="1">
      <alignment vertical="center"/>
    </xf>
    <xf numFmtId="0" fontId="65" fillId="0" borderId="0" xfId="91" applyAlignment="1">
      <alignment vertical="center"/>
    </xf>
    <xf numFmtId="0" fontId="33" fillId="8" borderId="8" xfId="0" applyFont="1" applyFill="1" applyBorder="1" applyAlignment="1">
      <alignment horizontal="left" vertical="top" wrapText="1"/>
    </xf>
    <xf numFmtId="0" fontId="33" fillId="8" borderId="0" xfId="0" applyFont="1" applyFill="1" applyBorder="1" applyAlignment="1">
      <alignment horizontal="left" vertical="center"/>
    </xf>
    <xf numFmtId="0" fontId="33" fillId="9" borderId="7" xfId="0" applyFont="1" applyFill="1" applyBorder="1" applyAlignment="1">
      <alignment horizontal="center" vertical="center" wrapText="1"/>
    </xf>
    <xf numFmtId="0" fontId="33" fillId="9" borderId="6" xfId="0" applyFont="1" applyFill="1" applyBorder="1" applyAlignment="1">
      <alignment horizontal="center" vertical="center" wrapText="1"/>
    </xf>
    <xf numFmtId="1" fontId="38" fillId="0" borderId="0" xfId="0" applyNumberFormat="1" applyFont="1" applyFill="1" applyAlignment="1">
      <alignment horizontal="center"/>
    </xf>
    <xf numFmtId="0" fontId="41" fillId="0" borderId="0" xfId="0" applyFont="1" applyFill="1" applyAlignment="1">
      <alignment horizontal="center"/>
    </xf>
    <xf numFmtId="166" fontId="42" fillId="11" borderId="5" xfId="46" applyNumberFormat="1" applyFont="1" applyFill="1" applyBorder="1" applyAlignment="1">
      <alignment horizontal="center"/>
    </xf>
    <xf numFmtId="166" fontId="42" fillId="11" borderId="7" xfId="46" applyNumberFormat="1" applyFont="1" applyFill="1" applyBorder="1" applyAlignment="1">
      <alignment horizontal="center"/>
    </xf>
    <xf numFmtId="166" fontId="42" fillId="11" borderId="6" xfId="46" applyNumberFormat="1" applyFont="1" applyFill="1" applyBorder="1" applyAlignment="1">
      <alignment horizontal="center"/>
    </xf>
    <xf numFmtId="0" fontId="31" fillId="8" borderId="8" xfId="0" applyFont="1" applyFill="1" applyBorder="1" applyAlignment="1">
      <alignment horizontal="left" vertical="top" wrapText="1"/>
    </xf>
    <xf numFmtId="0" fontId="33" fillId="9" borderId="5" xfId="0" applyFont="1" applyFill="1" applyBorder="1" applyAlignment="1">
      <alignment horizontal="center" vertical="center" wrapText="1"/>
    </xf>
    <xf numFmtId="0" fontId="37" fillId="4" borderId="0" xfId="0" applyFont="1" applyFill="1" applyAlignment="1">
      <alignment horizontal="left" vertical="center"/>
    </xf>
  </cellXfs>
  <cellStyles count="92">
    <cellStyle name="20% - Accent1" xfId="65" builtinId="30" customBuiltin="1"/>
    <cellStyle name="20% - Accent2" xfId="69" builtinId="34" customBuiltin="1"/>
    <cellStyle name="20% - Accent3" xfId="73" builtinId="38" customBuiltin="1"/>
    <cellStyle name="20% - Accent4" xfId="77" builtinId="42" customBuiltin="1"/>
    <cellStyle name="20% - Accent5" xfId="81" builtinId="46" customBuiltin="1"/>
    <cellStyle name="20% - Accent6" xfId="85" builtinId="50" customBuiltin="1"/>
    <cellStyle name="40% - Accent1" xfId="66" builtinId="31" customBuiltin="1"/>
    <cellStyle name="40% - Accent2" xfId="70" builtinId="35" customBuiltin="1"/>
    <cellStyle name="40% - Accent3" xfId="74" builtinId="39" customBuiltin="1"/>
    <cellStyle name="40% - Accent4" xfId="78" builtinId="43" customBuiltin="1"/>
    <cellStyle name="40% - Accent5" xfId="82" builtinId="47" customBuiltin="1"/>
    <cellStyle name="40% - Accent6" xfId="86" builtinId="51" customBuiltin="1"/>
    <cellStyle name="60% - Accent1" xfId="67" builtinId="32" customBuiltin="1"/>
    <cellStyle name="60% - Accent2" xfId="71" builtinId="36" customBuiltin="1"/>
    <cellStyle name="60% - Accent3" xfId="75" builtinId="40" customBuiltin="1"/>
    <cellStyle name="60% - Accent4" xfId="79" builtinId="44" customBuiltin="1"/>
    <cellStyle name="60% - Accent5" xfId="83" builtinId="48" customBuiltin="1"/>
    <cellStyle name="60% - Accent6" xfId="87" builtinId="52" customBuiltin="1"/>
    <cellStyle name="Accent1" xfId="64" builtinId="29" customBuiltin="1"/>
    <cellStyle name="Accent2" xfId="68" builtinId="33" customBuiltin="1"/>
    <cellStyle name="Accent3" xfId="72" builtinId="37" customBuiltin="1"/>
    <cellStyle name="Accent4" xfId="76" builtinId="41" customBuiltin="1"/>
    <cellStyle name="Accent5" xfId="80" builtinId="45" customBuiltin="1"/>
    <cellStyle name="Accent6" xfId="84" builtinId="49" customBuiltin="1"/>
    <cellStyle name="Bad" xfId="54" builtinId="27" customBuiltin="1"/>
    <cellStyle name="Calculation" xfId="58" builtinId="22" customBuiltin="1"/>
    <cellStyle name="Check Cell" xfId="60" builtinId="23" customBuiltin="1"/>
    <cellStyle name="Comma 2" xfId="45" xr:uid="{00000000-0005-0000-0000-000000000000}"/>
    <cellStyle name="Currency 2" xfId="7" xr:uid="{00000000-0005-0000-0000-000001000000}"/>
    <cellStyle name="Explanatory Text" xfId="62" builtinId="53" customBuiltin="1"/>
    <cellStyle name="Good" xfId="53" builtinId="26" customBuiltin="1"/>
    <cellStyle name="Heading 1" xfId="49" builtinId="16" customBuiltin="1"/>
    <cellStyle name="Heading 2" xfId="50" builtinId="17" customBuiltin="1"/>
    <cellStyle name="Heading 3" xfId="51" builtinId="18" customBuiltin="1"/>
    <cellStyle name="Heading 4" xfId="52" builtinId="19" customBuiltin="1"/>
    <cellStyle name="Hyperlink" xfId="91" builtinId="8"/>
    <cellStyle name="Hyperlink 2" xfId="8" xr:uid="{00000000-0005-0000-0000-000002000000}"/>
    <cellStyle name="Hyperlink 2 2" xfId="26" xr:uid="{00000000-0005-0000-0000-000003000000}"/>
    <cellStyle name="Hyperlink 2 3" xfId="23" xr:uid="{00000000-0005-0000-0000-000004000000}"/>
    <cellStyle name="Hyperlink 3" xfId="9" xr:uid="{00000000-0005-0000-0000-000005000000}"/>
    <cellStyle name="Hyperlink 4" xfId="22" xr:uid="{00000000-0005-0000-0000-000006000000}"/>
    <cellStyle name="Hyperlink 5" xfId="34" xr:uid="{00000000-0005-0000-0000-000007000000}"/>
    <cellStyle name="Input" xfId="56" builtinId="20" customBuiltin="1"/>
    <cellStyle name="Linked Cell" xfId="59" builtinId="24" customBuiltin="1"/>
    <cellStyle name="Neutral" xfId="55" builtinId="28" customBuiltin="1"/>
    <cellStyle name="Normal" xfId="0" builtinId="0"/>
    <cellStyle name="Normal 10" xfId="88" xr:uid="{B9E529F8-7A45-4A80-9608-6C615F1C1D3A}"/>
    <cellStyle name="Normal 11" xfId="89" xr:uid="{EFDE1BEC-6952-4644-83B5-75A6F2FA5355}"/>
    <cellStyle name="Normal 17" xfId="33" xr:uid="{00000000-0005-0000-0000-000009000000}"/>
    <cellStyle name="Normal 2" xfId="1" xr:uid="{00000000-0005-0000-0000-00000A000000}"/>
    <cellStyle name="Normal 2 2" xfId="10" xr:uid="{00000000-0005-0000-0000-00000B000000}"/>
    <cellStyle name="Normal 2 2 2" xfId="14" xr:uid="{00000000-0005-0000-0000-00000C000000}"/>
    <cellStyle name="Normal 2 2 2 2" xfId="29" xr:uid="{00000000-0005-0000-0000-00000D000000}"/>
    <cellStyle name="Normal 2 2 3" xfId="27" xr:uid="{00000000-0005-0000-0000-00000E000000}"/>
    <cellStyle name="Normal 2 2 4" xfId="40" xr:uid="{00000000-0005-0000-0000-00000F000000}"/>
    <cellStyle name="Normal 2 2 5" xfId="37" xr:uid="{00000000-0005-0000-0000-000010000000}"/>
    <cellStyle name="Normal 2 3" xfId="4" xr:uid="{00000000-0005-0000-0000-000011000000}"/>
    <cellStyle name="Normal 2 3 2" xfId="20" xr:uid="{00000000-0005-0000-0000-000012000000}"/>
    <cellStyle name="Normal 2 3 3" xfId="24" xr:uid="{00000000-0005-0000-0000-000013000000}"/>
    <cellStyle name="Normal 2 4" xfId="11" xr:uid="{00000000-0005-0000-0000-000014000000}"/>
    <cellStyle name="Normal 2 5" xfId="13" xr:uid="{00000000-0005-0000-0000-000015000000}"/>
    <cellStyle name="Normal 2 5 2" xfId="28" xr:uid="{00000000-0005-0000-0000-000016000000}"/>
    <cellStyle name="Normal 2 6" xfId="5" xr:uid="{00000000-0005-0000-0000-000017000000}"/>
    <cellStyle name="Normal 2 7" xfId="35" xr:uid="{00000000-0005-0000-0000-000018000000}"/>
    <cellStyle name="Normal 2 8" xfId="44" xr:uid="{00000000-0005-0000-0000-000019000000}"/>
    <cellStyle name="Normal 3" xfId="6" xr:uid="{00000000-0005-0000-0000-00001A000000}"/>
    <cellStyle name="Normal 3 2" xfId="15" xr:uid="{00000000-0005-0000-0000-00001B000000}"/>
    <cellStyle name="Normal 3 2 2" xfId="41" xr:uid="{00000000-0005-0000-0000-00001C000000}"/>
    <cellStyle name="Normal 3 3" xfId="3" xr:uid="{00000000-0005-0000-0000-00001D000000}"/>
    <cellStyle name="Normal 3 3 2" xfId="25" xr:uid="{00000000-0005-0000-0000-00001E000000}"/>
    <cellStyle name="Normal 3 4" xfId="39" xr:uid="{00000000-0005-0000-0000-00001F000000}"/>
    <cellStyle name="Normal 4" xfId="16" xr:uid="{00000000-0005-0000-0000-000020000000}"/>
    <cellStyle name="Normal 4 2" xfId="17" xr:uid="{00000000-0005-0000-0000-000021000000}"/>
    <cellStyle name="Normal 4 3" xfId="30" xr:uid="{00000000-0005-0000-0000-000022000000}"/>
    <cellStyle name="Normal 4 4" xfId="42" xr:uid="{00000000-0005-0000-0000-000023000000}"/>
    <cellStyle name="Normal 4 5" xfId="36" xr:uid="{00000000-0005-0000-0000-000024000000}"/>
    <cellStyle name="Normal 5" xfId="12" xr:uid="{00000000-0005-0000-0000-000025000000}"/>
    <cellStyle name="Normal 5 2" xfId="21" xr:uid="{00000000-0005-0000-0000-000026000000}"/>
    <cellStyle name="Normal 5 2 2" xfId="31" xr:uid="{00000000-0005-0000-0000-000027000000}"/>
    <cellStyle name="Normal 6" xfId="38" xr:uid="{00000000-0005-0000-0000-000028000000}"/>
    <cellStyle name="Normal 7" xfId="32" xr:uid="{00000000-0005-0000-0000-000029000000}"/>
    <cellStyle name="Normal 8" xfId="43" xr:uid="{00000000-0005-0000-0000-00002A000000}"/>
    <cellStyle name="Normal 9" xfId="47" xr:uid="{68472434-99C6-4242-B87D-0943F359C1AD}"/>
    <cellStyle name="Not 2" xfId="90" xr:uid="{80FE8160-51C5-49C3-BBB0-5E644276D358}"/>
    <cellStyle name="Output" xfId="57" builtinId="21" customBuiltin="1"/>
    <cellStyle name="Percent" xfId="46" builtinId="5"/>
    <cellStyle name="Percent 2" xfId="2" xr:uid="{00000000-0005-0000-0000-00002C000000}"/>
    <cellStyle name="Style 1" xfId="18" xr:uid="{00000000-0005-0000-0000-00002D000000}"/>
    <cellStyle name="Style 1 2" xfId="19" xr:uid="{00000000-0005-0000-0000-00002E000000}"/>
    <cellStyle name="Title" xfId="48" builtinId="15" customBuiltin="1"/>
    <cellStyle name="Total" xfId="63" builtinId="25" customBuiltin="1"/>
    <cellStyle name="Warning Text" xfId="61" builtinId="11" customBuiltin="1"/>
  </cellStyles>
  <dxfs count="0"/>
  <tableStyles count="0" defaultTableStyle="TableStyleMedium9" defaultPivotStyle="PivotStyleLight16"/>
  <colors>
    <mruColors>
      <color rgb="FF98252B"/>
      <color rgb="FF114D97"/>
      <color rgb="FF787878"/>
      <color rgb="FFFBB729"/>
      <color rgb="FFD3CCBD"/>
      <color rgb="FF0090C1"/>
      <color rgb="FF49A078"/>
      <color rgb="FFFE5F2D"/>
      <color rgb="FF0076BB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'1a. Reel GSYH Payı'!$B$118</c:f>
              <c:strCache>
                <c:ptCount val="1"/>
                <c:pt idx="0">
                  <c:v>Özel Tüketim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'1a. Reel GSYH Payı'!$C$117:$F$117</c:f>
              <c:strCache>
                <c:ptCount val="4"/>
                <c:pt idx="0">
                  <c:v>1998-2001</c:v>
                </c:pt>
                <c:pt idx="1">
                  <c:v>2002-2005</c:v>
                </c:pt>
                <c:pt idx="2">
                  <c:v>2006-2009</c:v>
                </c:pt>
                <c:pt idx="3">
                  <c:v>2010-2015</c:v>
                </c:pt>
              </c:strCache>
            </c:strRef>
          </c:cat>
          <c:val>
            <c:numRef>
              <c:f>'1a. Reel GSYH Payı'!$C$118:$F$118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214281.39229942302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D-40F9-8FEE-1B1EE3955CC1}"/>
            </c:ext>
          </c:extLst>
        </c:ser>
        <c:ser>
          <c:idx val="1"/>
          <c:order val="1"/>
          <c:tx>
            <c:strRef>
              <c:f>'1a. Reel GSYH Payı'!$B$119</c:f>
              <c:strCache>
                <c:ptCount val="1"/>
                <c:pt idx="0">
                  <c:v>Özel Yatırım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'1a. Reel GSYH Payı'!$C$117:$F$117</c:f>
              <c:strCache>
                <c:ptCount val="4"/>
                <c:pt idx="0">
                  <c:v>1998-2001</c:v>
                </c:pt>
                <c:pt idx="1">
                  <c:v>2002-2005</c:v>
                </c:pt>
                <c:pt idx="2">
                  <c:v>2006-2009</c:v>
                </c:pt>
                <c:pt idx="3">
                  <c:v>2010-2015</c:v>
                </c:pt>
              </c:strCache>
            </c:strRef>
          </c:cat>
          <c:val>
            <c:numRef>
              <c:f>'1a. Reel GSYH Payı'!$C$119:$F$119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8D-40F9-8FEE-1B1EE3955CC1}"/>
            </c:ext>
          </c:extLst>
        </c:ser>
        <c:ser>
          <c:idx val="2"/>
          <c:order val="2"/>
          <c:tx>
            <c:strRef>
              <c:f>'1a. Reel GSYH Payı'!$B$120</c:f>
              <c:strCache>
                <c:ptCount val="1"/>
                <c:pt idx="0">
                  <c:v>Kamu Tüketimi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'1a. Reel GSYH Payı'!$C$117:$F$117</c:f>
              <c:strCache>
                <c:ptCount val="4"/>
                <c:pt idx="0">
                  <c:v>1998-2001</c:v>
                </c:pt>
                <c:pt idx="1">
                  <c:v>2002-2005</c:v>
                </c:pt>
                <c:pt idx="2">
                  <c:v>2006-2009</c:v>
                </c:pt>
                <c:pt idx="3">
                  <c:v>2010-2015</c:v>
                </c:pt>
              </c:strCache>
            </c:strRef>
          </c:cat>
          <c:val>
            <c:numRef>
              <c:f>'1a. Reel GSYH Payı'!$C$120:$F$120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151.67572112391971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8D-40F9-8FEE-1B1EE3955CC1}"/>
            </c:ext>
          </c:extLst>
        </c:ser>
        <c:ser>
          <c:idx val="3"/>
          <c:order val="3"/>
          <c:tx>
            <c:strRef>
              <c:f>'1a. Reel GSYH Payı'!$B$121</c:f>
              <c:strCache>
                <c:ptCount val="1"/>
                <c:pt idx="0">
                  <c:v>Kamu Yatırımı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'1a. Reel GSYH Payı'!$C$117:$F$117</c:f>
              <c:strCache>
                <c:ptCount val="4"/>
                <c:pt idx="0">
                  <c:v>1998-2001</c:v>
                </c:pt>
                <c:pt idx="1">
                  <c:v>2002-2005</c:v>
                </c:pt>
                <c:pt idx="2">
                  <c:v>2006-2009</c:v>
                </c:pt>
                <c:pt idx="3">
                  <c:v>2010-2015</c:v>
                </c:pt>
              </c:strCache>
            </c:strRef>
          </c:cat>
          <c:val>
            <c:numRef>
              <c:f>'1a. Reel GSYH Payı'!$C$121:$F$121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8D-40F9-8FEE-1B1EE3955CC1}"/>
            </c:ext>
          </c:extLst>
        </c:ser>
        <c:ser>
          <c:idx val="4"/>
          <c:order val="4"/>
          <c:tx>
            <c:strRef>
              <c:f>'1a. Reel GSYH Payı'!$B$122</c:f>
              <c:strCache>
                <c:ptCount val="1"/>
                <c:pt idx="0">
                  <c:v>Stoklar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'1a. Reel GSYH Payı'!$C$117:$F$117</c:f>
              <c:strCache>
                <c:ptCount val="4"/>
                <c:pt idx="0">
                  <c:v>1998-2001</c:v>
                </c:pt>
                <c:pt idx="1">
                  <c:v>2002-2005</c:v>
                </c:pt>
                <c:pt idx="2">
                  <c:v>2006-2009</c:v>
                </c:pt>
                <c:pt idx="3">
                  <c:v>2010-2015</c:v>
                </c:pt>
              </c:strCache>
            </c:strRef>
          </c:cat>
          <c:val>
            <c:numRef>
              <c:f>'1a. Reel GSYH Payı'!$C$122:$F$122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E8D-40F9-8FEE-1B1EE3955CC1}"/>
            </c:ext>
          </c:extLst>
        </c:ser>
        <c:ser>
          <c:idx val="5"/>
          <c:order val="5"/>
          <c:tx>
            <c:strRef>
              <c:f>'1a. Reel GSYH Payı'!$B$123</c:f>
              <c:strCache>
                <c:ptCount val="1"/>
                <c:pt idx="0">
                  <c:v>Net İhracat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'1a. Reel GSYH Payı'!$C$117:$F$117</c:f>
              <c:strCache>
                <c:ptCount val="4"/>
                <c:pt idx="0">
                  <c:v>1998-2001</c:v>
                </c:pt>
                <c:pt idx="1">
                  <c:v>2002-2005</c:v>
                </c:pt>
                <c:pt idx="2">
                  <c:v>2006-2009</c:v>
                </c:pt>
                <c:pt idx="3">
                  <c:v>2010-2015</c:v>
                </c:pt>
              </c:strCache>
            </c:strRef>
          </c:cat>
          <c:val>
            <c:numRef>
              <c:f>'1a. Reel GSYH Payı'!$C$123:$F$123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-51.67691464366618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E8D-40F9-8FEE-1B1EE3955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22015775"/>
        <c:axId val="1122017855"/>
        <c:axId val="0"/>
      </c:bar3DChart>
      <c:catAx>
        <c:axId val="112201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017855"/>
        <c:crosses val="autoZero"/>
        <c:auto val="1"/>
        <c:lblAlgn val="ctr"/>
        <c:lblOffset val="100"/>
        <c:noMultiLvlLbl val="0"/>
      </c:catAx>
      <c:valAx>
        <c:axId val="112201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Bileşenlerin payları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0157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Bileşenlerin GSYH içindeki Payları</a:t>
            </a:r>
          </a:p>
          <a:p>
            <a:pPr>
              <a:defRPr/>
            </a:pPr>
            <a:r>
              <a:rPr lang="en-US" sz="1400" b="0"/>
              <a:t>(% GSYH)</a:t>
            </a:r>
          </a:p>
        </c:rich>
      </c:tx>
      <c:layout>
        <c:manualLayout>
          <c:xMode val="edge"/>
          <c:yMode val="edge"/>
          <c:x val="0.35069708483323692"/>
          <c:y val="1.66029368065172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932009179509747E-2"/>
          <c:y val="0.1500347617418997"/>
          <c:w val="0.94341379496298705"/>
          <c:h val="0.774321480233464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'1a. Reel GSYH Payı'!$C$117</c:f>
              <c:strCache>
                <c:ptCount val="1"/>
                <c:pt idx="0">
                  <c:v>1998-2001</c:v>
                </c:pt>
              </c:strCache>
            </c:strRef>
          </c:tx>
          <c:spPr>
            <a:solidFill>
              <a:srgbClr val="114D97"/>
            </a:solidFill>
            <a:ln>
              <a:noFill/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'1a. Reel GSYH Payı'!$B$118:$B$124</c15:sqref>
                  </c15:fullRef>
                </c:ext>
              </c:extLst>
              <c:f>'1a. Reel GSYH Payı'!$B$118:$B$123</c:f>
              <c:strCache>
                <c:ptCount val="6"/>
                <c:pt idx="0">
                  <c:v>Özel Tüketim</c:v>
                </c:pt>
                <c:pt idx="1">
                  <c:v>Özel Yatırım</c:v>
                </c:pt>
                <c:pt idx="2">
                  <c:v>Kamu Tüketimi</c:v>
                </c:pt>
                <c:pt idx="3">
                  <c:v>Kamu Yatırımı</c:v>
                </c:pt>
                <c:pt idx="4">
                  <c:v>Stoklar</c:v>
                </c:pt>
                <c:pt idx="5">
                  <c:v>Net İhracat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'1a. Reel GSYH Payı'!$C$118:$C$124</c15:sqref>
                  </c15:fullRef>
                </c:ext>
              </c:extLst>
              <c:f>'1a. Reel GSYH Payı'!$C$118:$C$123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F-43B7-B1D1-867151652E3E}"/>
            </c:ext>
          </c:extLst>
        </c:ser>
        <c:ser>
          <c:idx val="1"/>
          <c:order val="1"/>
          <c:tx>
            <c:strRef>
              <c:f>'1a. Reel GSYH Payı'!$D$117</c:f>
              <c:strCache>
                <c:ptCount val="1"/>
                <c:pt idx="0">
                  <c:v>2002-2005</c:v>
                </c:pt>
              </c:strCache>
            </c:strRef>
          </c:tx>
          <c:spPr>
            <a:solidFill>
              <a:srgbClr val="0090C1"/>
            </a:solidFill>
            <a:ln>
              <a:noFill/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'1a. Reel GSYH Payı'!$B$118:$B$124</c15:sqref>
                  </c15:fullRef>
                </c:ext>
              </c:extLst>
              <c:f>'1a. Reel GSYH Payı'!$B$118:$B$123</c:f>
              <c:strCache>
                <c:ptCount val="6"/>
                <c:pt idx="0">
                  <c:v>Özel Tüketim</c:v>
                </c:pt>
                <c:pt idx="1">
                  <c:v>Özel Yatırım</c:v>
                </c:pt>
                <c:pt idx="2">
                  <c:v>Kamu Tüketimi</c:v>
                </c:pt>
                <c:pt idx="3">
                  <c:v>Kamu Yatırımı</c:v>
                </c:pt>
                <c:pt idx="4">
                  <c:v>Stoklar</c:v>
                </c:pt>
                <c:pt idx="5">
                  <c:v>Net İhracat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'1a. Reel GSYH Payı'!$D$118:$D$124</c15:sqref>
                  </c15:fullRef>
                </c:ext>
              </c:extLst>
              <c:f>'1a. Reel GSYH Payı'!$D$118:$D$123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3F-43B7-B1D1-867151652E3E}"/>
            </c:ext>
          </c:extLst>
        </c:ser>
        <c:ser>
          <c:idx val="2"/>
          <c:order val="2"/>
          <c:tx>
            <c:strRef>
              <c:f>'1a. Reel GSYH Payı'!$E$117</c:f>
              <c:strCache>
                <c:ptCount val="1"/>
                <c:pt idx="0">
                  <c:v>2006-2009</c:v>
                </c:pt>
              </c:strCache>
            </c:strRef>
          </c:tx>
          <c:spPr>
            <a:solidFill>
              <a:srgbClr val="49A078"/>
            </a:solidFill>
            <a:ln>
              <a:noFill/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'1a. Reel GSYH Payı'!$B$118:$B$124</c15:sqref>
                  </c15:fullRef>
                </c:ext>
              </c:extLst>
              <c:f>'1a. Reel GSYH Payı'!$B$118:$B$123</c:f>
              <c:strCache>
                <c:ptCount val="6"/>
                <c:pt idx="0">
                  <c:v>Özel Tüketim</c:v>
                </c:pt>
                <c:pt idx="1">
                  <c:v>Özel Yatırım</c:v>
                </c:pt>
                <c:pt idx="2">
                  <c:v>Kamu Tüketimi</c:v>
                </c:pt>
                <c:pt idx="3">
                  <c:v>Kamu Yatırımı</c:v>
                </c:pt>
                <c:pt idx="4">
                  <c:v>Stoklar</c:v>
                </c:pt>
                <c:pt idx="5">
                  <c:v>Net İhracat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'1a. Reel GSYH Payı'!$E$118:$E$124</c15:sqref>
                  </c15:fullRef>
                </c:ext>
              </c:extLst>
              <c:f>'1a. Reel GSYH Payı'!$E$118:$E$123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3F-43B7-B1D1-867151652E3E}"/>
            </c:ext>
          </c:extLst>
        </c:ser>
        <c:ser>
          <c:idx val="3"/>
          <c:order val="3"/>
          <c:tx>
            <c:strRef>
              <c:f>'1a. Reel GSYH Payı'!$F$117</c:f>
              <c:strCache>
                <c:ptCount val="1"/>
                <c:pt idx="0">
                  <c:v>2010-2015</c:v>
                </c:pt>
              </c:strCache>
            </c:strRef>
          </c:tx>
          <c:spPr>
            <a:solidFill>
              <a:srgbClr val="98252B"/>
            </a:solidFill>
            <a:ln>
              <a:noFill/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'1a. Reel GSYH Payı'!$B$118:$B$124</c15:sqref>
                  </c15:fullRef>
                </c:ext>
              </c:extLst>
              <c:f>'1a. Reel GSYH Payı'!$B$118:$B$123</c:f>
              <c:strCache>
                <c:ptCount val="6"/>
                <c:pt idx="0">
                  <c:v>Özel Tüketim</c:v>
                </c:pt>
                <c:pt idx="1">
                  <c:v>Özel Yatırım</c:v>
                </c:pt>
                <c:pt idx="2">
                  <c:v>Kamu Tüketimi</c:v>
                </c:pt>
                <c:pt idx="3">
                  <c:v>Kamu Yatırımı</c:v>
                </c:pt>
                <c:pt idx="4">
                  <c:v>Stoklar</c:v>
                </c:pt>
                <c:pt idx="5">
                  <c:v>Net İhracat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'1a. Reel GSYH Payı'!$F$118:$F$124</c15:sqref>
                  </c15:fullRef>
                </c:ext>
              </c:extLst>
              <c:f>'1a. Reel GSYH Payı'!$F$118:$F$123</c:f>
              <c:numCache>
                <c:formatCode>0.0</c:formatCode>
                <c:ptCount val="6"/>
                <c:pt idx="0">
                  <c:v>214281.39229942302</c:v>
                </c:pt>
                <c:pt idx="1">
                  <c:v>0</c:v>
                </c:pt>
                <c:pt idx="2">
                  <c:v>151.67572112391971</c:v>
                </c:pt>
                <c:pt idx="3">
                  <c:v>0</c:v>
                </c:pt>
                <c:pt idx="4">
                  <c:v>0</c:v>
                </c:pt>
                <c:pt idx="5">
                  <c:v>-51.67691464366618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3F-43B7-B1D1-867151652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14396848"/>
        <c:axId val="1414391408"/>
      </c:barChart>
      <c:catAx>
        <c:axId val="14143968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crossAx val="1414391408"/>
        <c:crosses val="autoZero"/>
        <c:auto val="1"/>
        <c:lblAlgn val="ctr"/>
        <c:lblOffset val="100"/>
        <c:noMultiLvlLbl val="0"/>
      </c:catAx>
      <c:valAx>
        <c:axId val="1414391408"/>
        <c:scaling>
          <c:orientation val="minMax"/>
          <c:min val="-10"/>
        </c:scaling>
        <c:delete val="0"/>
        <c:axPos val="l"/>
        <c:numFmt formatCode="0.0" sourceLinked="1"/>
        <c:majorTickMark val="in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crossAx val="1414396848"/>
        <c:crosses val="autoZero"/>
        <c:crossBetween val="between"/>
      </c:valAx>
      <c:spPr>
        <a:solidFill>
          <a:srgbClr val="FFFFFF"/>
        </a:solidFill>
        <a:ln w="3175"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20565430637379406"/>
          <c:y val="0.12503066181871184"/>
          <c:w val="0.71533923342888739"/>
          <c:h val="4.7768057059495737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 w="25400">
      <a:noFill/>
    </a:ln>
  </c:spPr>
  <c:txPr>
    <a:bodyPr/>
    <a:lstStyle/>
    <a:p>
      <a:pPr>
        <a:defRPr>
          <a:solidFill>
            <a:schemeClr val="tx1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Dışa Açıklık: İhracat ve İthalat </a:t>
            </a:r>
          </a:p>
          <a:p>
            <a:pPr>
              <a:defRPr sz="1400"/>
            </a:pPr>
            <a:r>
              <a:rPr lang="en-US" sz="1400" b="0"/>
              <a:t>(% GSYH)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2205366894406633E-2"/>
          <c:y val="0.19006299212598426"/>
          <c:w val="0.94331088373300087"/>
          <c:h val="0.76538526434195731"/>
        </c:manualLayout>
      </c:layout>
      <c:barChart>
        <c:barDir val="col"/>
        <c:grouping val="clustered"/>
        <c:varyColors val="0"/>
        <c:ser>
          <c:idx val="0"/>
          <c:order val="0"/>
          <c:tx>
            <c:v>İhracat (% GSYH)</c:v>
          </c:tx>
          <c:spPr>
            <a:solidFill>
              <a:srgbClr val="0090C1"/>
            </a:solidFill>
            <a:ln>
              <a:noFill/>
              <a:prstDash val="solid"/>
            </a:ln>
            <a:effectLst/>
          </c:spPr>
          <c:invertIfNegative val="0"/>
          <c:cat>
            <c:strRef>
              <c:f>'1a. Reel GSYH Payı'!$A$32:$A$35</c:f>
              <c:strCache>
                <c:ptCount val="4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</c:strCache>
            </c:strRef>
          </c:cat>
          <c:val>
            <c:numRef>
              <c:f>'1a. Reel GSYH Payı'!$U$110:$U$113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255.04249170355831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3-4BF5-A1D1-4E07B6B85335}"/>
            </c:ext>
          </c:extLst>
        </c:ser>
        <c:ser>
          <c:idx val="1"/>
          <c:order val="1"/>
          <c:tx>
            <c:v>İthalat (% GSYH)</c:v>
          </c:tx>
          <c:spPr>
            <a:solidFill>
              <a:srgbClr val="98252B"/>
            </a:solidFill>
            <a:ln>
              <a:noFill/>
              <a:prstDash val="solid"/>
            </a:ln>
            <a:effectLst/>
          </c:spPr>
          <c:invertIfNegative val="0"/>
          <c:cat>
            <c:strRef>
              <c:f>'1a. Reel GSYH Payı'!$A$32:$A$35</c:f>
              <c:strCache>
                <c:ptCount val="4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</c:strCache>
            </c:strRef>
          </c:cat>
          <c:val>
            <c:numRef>
              <c:f>'1a. Reel GSYH Payı'!$V$110:$V$113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306.71940634722461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E3-4BF5-A1D1-4E07B6B85335}"/>
            </c:ext>
          </c:extLst>
        </c:ser>
        <c:ser>
          <c:idx val="2"/>
          <c:order val="2"/>
          <c:tx>
            <c:v>İhracat + İthalat (% GSYH)</c:v>
          </c:tx>
          <c:spPr>
            <a:solidFill>
              <a:srgbClr val="49A078"/>
            </a:solidFill>
            <a:ln>
              <a:noFill/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23D-46AA-B2F6-3D97B05255F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23D-46AA-B2F6-3D97B05255F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523D-46AA-B2F6-3D97B05255F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523D-46AA-B2F6-3D97B05255F7}"/>
              </c:ext>
            </c:extLst>
          </c:dPt>
          <c:trendline>
            <c:spPr>
              <a:ln w="38100">
                <a:solidFill>
                  <a:srgbClr val="114D97"/>
                </a:solidFill>
                <a:prstDash val="sysDash"/>
              </a:ln>
            </c:spPr>
            <c:trendlineType val="linear"/>
            <c:dispRSqr val="0"/>
            <c:dispEq val="0"/>
          </c:trendline>
          <c:cat>
            <c:strRef>
              <c:f>'1a. Reel GSYH Payı'!$A$32:$A$35</c:f>
              <c:strCache>
                <c:ptCount val="4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</c:strCache>
            </c:strRef>
          </c:cat>
          <c:val>
            <c:numRef>
              <c:f>'1a. Reel GSYH Payı'!$X$110:$X$113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561.76189805078275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E3-4BF5-A1D1-4E07B6B85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14395216"/>
        <c:axId val="1414397936"/>
      </c:barChart>
      <c:catAx>
        <c:axId val="1414395216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crossAx val="1414397936"/>
        <c:crosses val="autoZero"/>
        <c:auto val="1"/>
        <c:lblAlgn val="ctr"/>
        <c:lblOffset val="100"/>
        <c:noMultiLvlLbl val="0"/>
      </c:catAx>
      <c:valAx>
        <c:axId val="1414397936"/>
        <c:scaling>
          <c:orientation val="minMax"/>
        </c:scaling>
        <c:delete val="0"/>
        <c:axPos val="l"/>
        <c:numFmt formatCode="0" sourceLinked="0"/>
        <c:majorTickMark val="in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crossAx val="1414395216"/>
        <c:crosses val="autoZero"/>
        <c:crossBetween val="between"/>
      </c:valAx>
      <c:spPr>
        <a:solidFill>
          <a:srgbClr val="FFFFFF"/>
        </a:solidFill>
        <a:ln w="3175"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2.678365852919869E-2"/>
          <c:y val="0.12231796025496813"/>
          <c:w val="0.95769769462554055"/>
          <c:h val="7.768203974503187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 w="25400">
      <a:noFill/>
    </a:ln>
  </c:spPr>
  <c:txPr>
    <a:bodyPr/>
    <a:lstStyle/>
    <a:p>
      <a:pPr>
        <a:defRPr>
          <a:solidFill>
            <a:schemeClr val="tx1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Mal ve Hizmet İhracat ve İthalatı  </a:t>
            </a:r>
          </a:p>
          <a:p>
            <a:pPr>
              <a:defRPr sz="1400"/>
            </a:pPr>
            <a:r>
              <a:rPr lang="en-US" sz="1400" b="0"/>
              <a:t>(%</a:t>
            </a:r>
            <a:r>
              <a:rPr lang="en-US" sz="1400" b="0" baseline="0"/>
              <a:t> GSYH</a:t>
            </a:r>
            <a:r>
              <a:rPr lang="en-US" sz="1400" b="0"/>
              <a:t>)</a:t>
            </a:r>
          </a:p>
        </c:rich>
      </c:tx>
      <c:layout>
        <c:manualLayout>
          <c:xMode val="edge"/>
          <c:yMode val="edge"/>
          <c:x val="0.35735570181754667"/>
          <c:y val="2.177759651539272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0647603260118799E-2"/>
          <c:y val="0.15719384303266337"/>
          <c:w val="0.92737075653872281"/>
          <c:h val="0.78437853500783017"/>
        </c:manualLayout>
      </c:layout>
      <c:lineChart>
        <c:grouping val="standard"/>
        <c:varyColors val="0"/>
        <c:ser>
          <c:idx val="2"/>
          <c:order val="1"/>
          <c:tx>
            <c:v>Mal ve Hizmet İthalatı (% GSYH)</c:v>
          </c:tx>
          <c:spPr>
            <a:ln w="25400">
              <a:solidFill>
                <a:srgbClr val="98252B"/>
              </a:solidFill>
              <a:prstDash val="sysDash"/>
            </a:ln>
            <a:effectLst/>
          </c:spPr>
          <c:marker>
            <c:symbol val="none"/>
          </c:marker>
          <c:cat>
            <c:strRef>
              <c:f>'1a. Reel GSYH Payı'!$A$32:$A$103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'1a. Reel GSYH Payı'!$V$32:$V$103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130.95460088006232</c:v>
                </c:pt>
                <c:pt idx="45">
                  <c:v>147.65792386984208</c:v>
                </c:pt>
                <c:pt idx="46">
                  <c:v>160.67000407407883</c:v>
                </c:pt>
                <c:pt idx="47">
                  <c:v>161.94531775119253</c:v>
                </c:pt>
                <c:pt idx="48">
                  <c:v>192.50224657209179</c:v>
                </c:pt>
                <c:pt idx="49">
                  <c:v>213.11409337769106</c:v>
                </c:pt>
                <c:pt idx="50">
                  <c:v>261.73337799244263</c:v>
                </c:pt>
                <c:pt idx="51">
                  <c:v>316.98100753821177</c:v>
                </c:pt>
                <c:pt idx="52">
                  <c:v>475.83833957259355</c:v>
                </c:pt>
                <c:pt idx="53">
                  <c:v>532.17830333344091</c:v>
                </c:pt>
                <c:pt idx="54">
                  <c:v>545.54183868561529</c:v>
                </c:pt>
                <c:pt idx="55">
                  <c:v>404.91913139493408</c:v>
                </c:pt>
                <c:pt idx="56">
                  <c:v>380.3999755041616</c:v>
                </c:pt>
                <c:pt idx="57">
                  <c:v>285.64439462367079</c:v>
                </c:pt>
                <c:pt idx="58">
                  <c:v>267.58305212777015</c:v>
                </c:pt>
                <c:pt idx="59">
                  <c:v>238.15697480168839</c:v>
                </c:pt>
                <c:pt idx="60">
                  <c:v>303.91856066203064</c:v>
                </c:pt>
                <c:pt idx="61">
                  <c:v>311.9812287679265</c:v>
                </c:pt>
                <c:pt idx="62">
                  <c:v>318.79684015450204</c:v>
                </c:pt>
                <c:pt idx="63">
                  <c:v>330.76078507291993</c:v>
                </c:pt>
                <c:pt idx="64">
                  <c:v>263.01355034777782</c:v>
                </c:pt>
                <c:pt idx="65">
                  <c:v>262.77554998106808</c:v>
                </c:pt>
                <c:pt idx="66">
                  <c:v>249.65000530688476</c:v>
                </c:pt>
                <c:pt idx="67">
                  <c:v>299.17329109196783</c:v>
                </c:pt>
                <c:pt idx="68">
                  <c:v>244.89798111887612</c:v>
                </c:pt>
                <c:pt idx="69">
                  <c:v>233.96381398121392</c:v>
                </c:pt>
                <c:pt idx="70">
                  <c:v>213.84428565450122</c:v>
                </c:pt>
                <c:pt idx="71">
                  <c:v>213.89712466940711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C6-41E2-9417-2AD7F9A93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398480"/>
        <c:axId val="1414394128"/>
      </c:lineChart>
      <c:lineChart>
        <c:grouping val="standard"/>
        <c:varyColors val="0"/>
        <c:ser>
          <c:idx val="1"/>
          <c:order val="0"/>
          <c:tx>
            <c:v>Mal ve Hizmet İhracatı (% GSYH)</c:v>
          </c:tx>
          <c:spPr>
            <a:ln w="25400">
              <a:solidFill>
                <a:srgbClr val="114D97"/>
              </a:solidFill>
              <a:prstDash val="solid"/>
            </a:ln>
            <a:effectLst/>
          </c:spPr>
          <c:marker>
            <c:symbol val="none"/>
          </c:marker>
          <c:cat>
            <c:strRef>
              <c:f>'1a. Reel GSYH Payı'!$A$12:$A$28</c:f>
              <c:strCache>
                <c:ptCount val="17"/>
                <c:pt idx="0">
                  <c:v>Q1-1993</c:v>
                </c:pt>
                <c:pt idx="1">
                  <c:v>Q2-1993</c:v>
                </c:pt>
                <c:pt idx="2">
                  <c:v>Q3-1993</c:v>
                </c:pt>
                <c:pt idx="3">
                  <c:v>Q4-1993</c:v>
                </c:pt>
                <c:pt idx="4">
                  <c:v>Q1-1994</c:v>
                </c:pt>
                <c:pt idx="5">
                  <c:v>Q2-1994</c:v>
                </c:pt>
                <c:pt idx="6">
                  <c:v>Q3-1994</c:v>
                </c:pt>
                <c:pt idx="7">
                  <c:v>Q4-1994</c:v>
                </c:pt>
                <c:pt idx="8">
                  <c:v>Q1-1995</c:v>
                </c:pt>
                <c:pt idx="9">
                  <c:v>Q2-1995</c:v>
                </c:pt>
                <c:pt idx="10">
                  <c:v>Q3-1995</c:v>
                </c:pt>
                <c:pt idx="11">
                  <c:v>Q4-1995</c:v>
                </c:pt>
                <c:pt idx="12">
                  <c:v>Q1-1996</c:v>
                </c:pt>
                <c:pt idx="13">
                  <c:v>Q2-1996</c:v>
                </c:pt>
                <c:pt idx="14">
                  <c:v>Q3-1996</c:v>
                </c:pt>
                <c:pt idx="15">
                  <c:v>Q4-1996</c:v>
                </c:pt>
                <c:pt idx="16">
                  <c:v>Q1-1997</c:v>
                </c:pt>
              </c:strCache>
            </c:strRef>
          </c:cat>
          <c:val>
            <c:numRef>
              <c:f>'1a. Reel GSYH Payı'!$U$32:$U$103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141.75694989638535</c:v>
                </c:pt>
                <c:pt idx="45">
                  <c:v>145.54001091559999</c:v>
                </c:pt>
                <c:pt idx="46">
                  <c:v>157.57392384663387</c:v>
                </c:pt>
                <c:pt idx="47">
                  <c:v>154.36929757186707</c:v>
                </c:pt>
                <c:pt idx="48">
                  <c:v>170.00206524293492</c:v>
                </c:pt>
                <c:pt idx="49">
                  <c:v>187.06511103113738</c:v>
                </c:pt>
                <c:pt idx="50">
                  <c:v>210.36328478773672</c:v>
                </c:pt>
                <c:pt idx="51">
                  <c:v>245.90923513402174</c:v>
                </c:pt>
                <c:pt idx="52">
                  <c:v>351.10710060324521</c:v>
                </c:pt>
                <c:pt idx="53">
                  <c:v>388.64906149864032</c:v>
                </c:pt>
                <c:pt idx="54">
                  <c:v>419.86752765981629</c:v>
                </c:pt>
                <c:pt idx="55">
                  <c:v>320.46067398831019</c:v>
                </c:pt>
                <c:pt idx="56">
                  <c:v>304.91690590852176</c:v>
                </c:pt>
                <c:pt idx="57">
                  <c:v>244.87299566069646</c:v>
                </c:pt>
                <c:pt idx="58">
                  <c:v>231.78045587816274</c:v>
                </c:pt>
                <c:pt idx="59">
                  <c:v>213.66074076153635</c:v>
                </c:pt>
                <c:pt idx="60">
                  <c:v>249.8090589404359</c:v>
                </c:pt>
                <c:pt idx="61">
                  <c:v>260.75789421695345</c:v>
                </c:pt>
                <c:pt idx="62">
                  <c:v>262.55192935094431</c:v>
                </c:pt>
                <c:pt idx="63">
                  <c:v>274.66371901674285</c:v>
                </c:pt>
                <c:pt idx="64">
                  <c:v>235.26528585936632</c:v>
                </c:pt>
                <c:pt idx="65">
                  <c:v>234.82177145980577</c:v>
                </c:pt>
                <c:pt idx="66">
                  <c:v>223.12328227117067</c:v>
                </c:pt>
                <c:pt idx="67">
                  <c:v>254.22190856046871</c:v>
                </c:pt>
                <c:pt idx="68">
                  <c:v>225.1226527964152</c:v>
                </c:pt>
                <c:pt idx="69">
                  <c:v>214.90872620773609</c:v>
                </c:pt>
                <c:pt idx="70">
                  <c:v>200.89351895735626</c:v>
                </c:pt>
                <c:pt idx="71">
                  <c:v>196.22489509324393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C6-41E2-9417-2AD7F9A93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400656"/>
        <c:axId val="1414405552"/>
      </c:lineChart>
      <c:catAx>
        <c:axId val="1414398480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crossAx val="1414394128"/>
        <c:crosses val="autoZero"/>
        <c:auto val="1"/>
        <c:lblAlgn val="ctr"/>
        <c:lblOffset val="100"/>
        <c:tickLblSkip val="8"/>
        <c:noMultiLvlLbl val="0"/>
      </c:catAx>
      <c:valAx>
        <c:axId val="1414394128"/>
        <c:scaling>
          <c:orientation val="minMax"/>
          <c:max val="45"/>
          <c:min val="15"/>
        </c:scaling>
        <c:delete val="0"/>
        <c:axPos val="l"/>
        <c:numFmt formatCode="0" sourceLinked="0"/>
        <c:majorTickMark val="in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crossAx val="1414398480"/>
        <c:crosses val="autoZero"/>
        <c:crossBetween val="between"/>
        <c:majorUnit val="5"/>
      </c:valAx>
      <c:valAx>
        <c:axId val="1414405552"/>
        <c:scaling>
          <c:orientation val="minMax"/>
          <c:max val="60"/>
          <c:min val="15"/>
        </c:scaling>
        <c:delete val="1"/>
        <c:axPos val="r"/>
        <c:numFmt formatCode="0.0" sourceLinked="1"/>
        <c:majorTickMark val="in"/>
        <c:minorTickMark val="none"/>
        <c:tickLblPos val="nextTo"/>
        <c:crossAx val="1414400656"/>
        <c:crosses val="max"/>
        <c:crossBetween val="between"/>
      </c:valAx>
      <c:catAx>
        <c:axId val="1414400656"/>
        <c:scaling>
          <c:orientation val="minMax"/>
        </c:scaling>
        <c:delete val="1"/>
        <c:axPos val="b"/>
        <c:numFmt formatCode="General" sourceLinked="1"/>
        <c:majorTickMark val="in"/>
        <c:minorTickMark val="none"/>
        <c:tickLblPos val="nextTo"/>
        <c:crossAx val="1414405552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 w="3175">
          <a:noFill/>
          <a:prstDash val="solid"/>
        </a:ln>
      </c:spPr>
    </c:plotArea>
    <c:legend>
      <c:legendPos val="r"/>
      <c:layout>
        <c:manualLayout>
          <c:xMode val="edge"/>
          <c:yMode val="edge"/>
          <c:x val="8.3349862437108901E-2"/>
          <c:y val="0.14034764144976961"/>
          <c:w val="0.86328068468739882"/>
          <c:h val="8.0559362753923586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 w="25400">
      <a:noFill/>
    </a:ln>
  </c:spPr>
  <c:txPr>
    <a:bodyPr/>
    <a:lstStyle/>
    <a:p>
      <a:pPr>
        <a:defRPr>
          <a:solidFill>
            <a:schemeClr val="tx1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Bileşenlerin GSYH içindeki Payları </a:t>
            </a:r>
          </a:p>
          <a:p>
            <a:pPr>
              <a:defRPr sz="1400"/>
            </a:pPr>
            <a:r>
              <a:rPr lang="en-US" sz="1400" b="0"/>
              <a:t>(%</a:t>
            </a:r>
            <a:r>
              <a:rPr lang="en-US" sz="1400" b="0" baseline="0"/>
              <a:t> GSYH</a:t>
            </a:r>
            <a:r>
              <a:rPr lang="en-US" sz="1400" b="0"/>
              <a:t>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1344636493372833E-2"/>
          <c:y val="0.14966916921383325"/>
          <c:w val="0.92237613188268586"/>
          <c:h val="0.74916364151607895"/>
        </c:manualLayout>
      </c:layout>
      <c:barChart>
        <c:barDir val="col"/>
        <c:grouping val="percentStacked"/>
        <c:varyColors val="0"/>
        <c:ser>
          <c:idx val="0"/>
          <c:order val="0"/>
          <c:tx>
            <c:v>Özel Tüketim</c:v>
          </c:tx>
          <c:spPr>
            <a:solidFill>
              <a:srgbClr val="0090C1"/>
            </a:solidFill>
          </c:spPr>
          <c:invertIfNegative val="0"/>
          <c:cat>
            <c:strRef>
              <c:f>'1a. Reel GSYH Payı'!$A$32:$A$103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'1a. Reel GSYH Payı'!$B$32:$B$103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133815.60031201859</c:v>
                </c:pt>
                <c:pt idx="45">
                  <c:v>158937.40038478962</c:v>
                </c:pt>
                <c:pt idx="46">
                  <c:v>176619.30042614613</c:v>
                </c:pt>
                <c:pt idx="47">
                  <c:v>168863.7004041266</c:v>
                </c:pt>
                <c:pt idx="48">
                  <c:v>152261.30043731615</c:v>
                </c:pt>
                <c:pt idx="49">
                  <c:v>171770.50049334488</c:v>
                </c:pt>
                <c:pt idx="50">
                  <c:v>198720.90066600495</c:v>
                </c:pt>
                <c:pt idx="51">
                  <c:v>188966.90070371114</c:v>
                </c:pt>
                <c:pt idx="52">
                  <c:v>179730.60087760477</c:v>
                </c:pt>
                <c:pt idx="53">
                  <c:v>197761.70104825057</c:v>
                </c:pt>
                <c:pt idx="54">
                  <c:v>218127.40110073332</c:v>
                </c:pt>
                <c:pt idx="55">
                  <c:v>206757.20081169534</c:v>
                </c:pt>
                <c:pt idx="56">
                  <c:v>186509.3007042087</c:v>
                </c:pt>
                <c:pt idx="57">
                  <c:v>202525.40056956786</c:v>
                </c:pt>
                <c:pt idx="58">
                  <c:v>222777.90059948876</c:v>
                </c:pt>
                <c:pt idx="59">
                  <c:v>217265.20052823483</c:v>
                </c:pt>
                <c:pt idx="60">
                  <c:v>199945.90057887058</c:v>
                </c:pt>
                <c:pt idx="61">
                  <c:v>220802.40062311324</c:v>
                </c:pt>
                <c:pt idx="62">
                  <c:v>242758.00068981311</c:v>
                </c:pt>
                <c:pt idx="63">
                  <c:v>233991.40066910814</c:v>
                </c:pt>
                <c:pt idx="64">
                  <c:v>205221.70044915381</c:v>
                </c:pt>
                <c:pt idx="65">
                  <c:v>227535.40053119385</c:v>
                </c:pt>
                <c:pt idx="66">
                  <c:v>248888.80055840852</c:v>
                </c:pt>
                <c:pt idx="67">
                  <c:v>245917.80062039683</c:v>
                </c:pt>
                <c:pt idx="68">
                  <c:v>219927.40048145197</c:v>
                </c:pt>
                <c:pt idx="69">
                  <c:v>237866.50048481193</c:v>
                </c:pt>
                <c:pt idx="70">
                  <c:v>258152.0004872607</c:v>
                </c:pt>
                <c:pt idx="71">
                  <c:v>258571.80047240984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B-4482-A0B2-A1F2729B30DE}"/>
            </c:ext>
          </c:extLst>
        </c:ser>
        <c:ser>
          <c:idx val="3"/>
          <c:order val="1"/>
          <c:tx>
            <c:v>Özel Yatırımlar (GFCF)</c:v>
          </c:tx>
          <c:spPr>
            <a:solidFill>
              <a:srgbClr val="114D97"/>
            </a:solidFill>
          </c:spPr>
          <c:invertIfNegative val="0"/>
          <c:cat>
            <c:strRef>
              <c:f>'1a. Reel GSYH Payı'!$A$32:$A$103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'1a. Reel GSYH Payı'!$O$32:$O$103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AB-4482-A0B2-A1F2729B30DE}"/>
            </c:ext>
          </c:extLst>
        </c:ser>
        <c:ser>
          <c:idx val="1"/>
          <c:order val="2"/>
          <c:tx>
            <c:v>Kamu Tüketimi</c:v>
          </c:tx>
          <c:spPr>
            <a:solidFill>
              <a:srgbClr val="D3CCBD"/>
            </a:solidFill>
          </c:spPr>
          <c:invertIfNegative val="0"/>
          <c:cat>
            <c:strRef>
              <c:f>'1a. Reel GSYH Payı'!$A$32:$A$103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'1a. Reel GSYH Payı'!$I$32:$I$103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89.19699544421529</c:v>
                </c:pt>
                <c:pt idx="45">
                  <c:v>102.1171037915809</c:v>
                </c:pt>
                <c:pt idx="46">
                  <c:v>103.09519479864487</c:v>
                </c:pt>
                <c:pt idx="47">
                  <c:v>107.57518842697911</c:v>
                </c:pt>
                <c:pt idx="48">
                  <c:v>122.49929350389839</c:v>
                </c:pt>
                <c:pt idx="49">
                  <c:v>126.04798107793178</c:v>
                </c:pt>
                <c:pt idx="50">
                  <c:v>151.36875005323409</c:v>
                </c:pt>
                <c:pt idx="51">
                  <c:v>171.07035404089046</c:v>
                </c:pt>
                <c:pt idx="52">
                  <c:v>224.729484728969</c:v>
                </c:pt>
                <c:pt idx="53">
                  <c:v>243.52716832712949</c:v>
                </c:pt>
                <c:pt idx="54">
                  <c:v>225.67216286601354</c:v>
                </c:pt>
                <c:pt idx="55">
                  <c:v>184.45689835207921</c:v>
                </c:pt>
                <c:pt idx="56">
                  <c:v>175.48172577823709</c:v>
                </c:pt>
                <c:pt idx="57">
                  <c:v>140.77032190378787</c:v>
                </c:pt>
                <c:pt idx="58">
                  <c:v>135.80147356526049</c:v>
                </c:pt>
                <c:pt idx="59">
                  <c:v>124.49524128915451</c:v>
                </c:pt>
                <c:pt idx="60">
                  <c:v>154.1084209151835</c:v>
                </c:pt>
                <c:pt idx="61">
                  <c:v>151.22217862306204</c:v>
                </c:pt>
                <c:pt idx="62">
                  <c:v>156.24364466180913</c:v>
                </c:pt>
                <c:pt idx="63">
                  <c:v>156.09584140255376</c:v>
                </c:pt>
                <c:pt idx="64">
                  <c:v>127.74745277997582</c:v>
                </c:pt>
                <c:pt idx="65">
                  <c:v>127.95282566544894</c:v>
                </c:pt>
                <c:pt idx="66">
                  <c:v>126.52573427620246</c:v>
                </c:pt>
                <c:pt idx="67">
                  <c:v>144.95027758896578</c:v>
                </c:pt>
                <c:pt idx="68">
                  <c:v>119.77448206544447</c:v>
                </c:pt>
                <c:pt idx="69">
                  <c:v>119.05424577084354</c:v>
                </c:pt>
                <c:pt idx="70">
                  <c:v>112.94993095423813</c:v>
                </c:pt>
                <c:pt idx="71">
                  <c:v>117.67141678375989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AB-4482-A0B2-A1F2729B30DE}"/>
            </c:ext>
          </c:extLst>
        </c:ser>
        <c:ser>
          <c:idx val="2"/>
          <c:order val="3"/>
          <c:tx>
            <c:v>Kamu Yatırımları (GFCF)</c:v>
          </c:tx>
          <c:spPr>
            <a:solidFill>
              <a:srgbClr val="49A078"/>
            </a:solidFill>
            <a:ln>
              <a:noFill/>
            </a:ln>
          </c:spPr>
          <c:invertIfNegative val="0"/>
          <c:cat>
            <c:strRef>
              <c:f>'1a. Reel GSYH Payı'!$A$32:$A$103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'1a. Reel GSYH Payı'!$L$32:$L$103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AB-4482-A0B2-A1F2729B30DE}"/>
            </c:ext>
          </c:extLst>
        </c:ser>
        <c:ser>
          <c:idx val="4"/>
          <c:order val="4"/>
          <c:tx>
            <c:v>Net İhracat</c:v>
          </c:tx>
          <c:spPr>
            <a:solidFill>
              <a:srgbClr val="98252B"/>
            </a:solidFill>
            <a:ln>
              <a:noFill/>
            </a:ln>
          </c:spPr>
          <c:invertIfNegative val="0"/>
          <c:cat>
            <c:strRef>
              <c:f>'1a. Reel GSYH Payı'!$A$32:$A$103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'1a. Reel GSYH Payı'!$W$32:$W$103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10.802349016323035</c:v>
                </c:pt>
                <c:pt idx="45">
                  <c:v>-2.1179129542421076</c:v>
                </c:pt>
                <c:pt idx="46">
                  <c:v>-3.0960802274449617</c:v>
                </c:pt>
                <c:pt idx="47">
                  <c:v>-7.5760201793254849</c:v>
                </c:pt>
                <c:pt idx="48">
                  <c:v>-22.500181329156874</c:v>
                </c:pt>
                <c:pt idx="49">
                  <c:v>-26.048982346553707</c:v>
                </c:pt>
                <c:pt idx="50">
                  <c:v>-51.37009320470591</c:v>
                </c:pt>
                <c:pt idx="51">
                  <c:v>-71.071772404190028</c:v>
                </c:pt>
                <c:pt idx="52">
                  <c:v>-124.73123896934834</c:v>
                </c:pt>
                <c:pt idx="53">
                  <c:v>-143.52924183480053</c:v>
                </c:pt>
                <c:pt idx="54">
                  <c:v>-125.67431102579904</c:v>
                </c:pt>
                <c:pt idx="55">
                  <c:v>-84.458457406623893</c:v>
                </c:pt>
                <c:pt idx="56">
                  <c:v>-75.483069595639847</c:v>
                </c:pt>
                <c:pt idx="57">
                  <c:v>-40.771398962974388</c:v>
                </c:pt>
                <c:pt idx="58">
                  <c:v>-35.802596249607376</c:v>
                </c:pt>
                <c:pt idx="59">
                  <c:v>-24.496234040152061</c:v>
                </c:pt>
                <c:pt idx="60">
                  <c:v>-54.109501721594768</c:v>
                </c:pt>
                <c:pt idx="61">
                  <c:v>-51.223334550973043</c:v>
                </c:pt>
                <c:pt idx="62">
                  <c:v>-56.244910803557758</c:v>
                </c:pt>
                <c:pt idx="63">
                  <c:v>-56.097066056177056</c:v>
                </c:pt>
                <c:pt idx="64">
                  <c:v>-27.748264488411493</c:v>
                </c:pt>
                <c:pt idx="65">
                  <c:v>-27.953778521262311</c:v>
                </c:pt>
                <c:pt idx="66">
                  <c:v>-26.526723035714095</c:v>
                </c:pt>
                <c:pt idx="67">
                  <c:v>-44.9513825314991</c:v>
                </c:pt>
                <c:pt idx="68">
                  <c:v>-19.775328322460936</c:v>
                </c:pt>
                <c:pt idx="69">
                  <c:v>-19.055087773477783</c:v>
                </c:pt>
                <c:pt idx="70">
                  <c:v>-12.950766697144914</c:v>
                </c:pt>
                <c:pt idx="71">
                  <c:v>-17.672229576163172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AB-4482-A0B2-A1F2729B3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4399024"/>
        <c:axId val="1414403376"/>
      </c:barChart>
      <c:catAx>
        <c:axId val="1414399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crossAx val="1414403376"/>
        <c:crosses val="autoZero"/>
        <c:auto val="1"/>
        <c:lblAlgn val="ctr"/>
        <c:lblOffset val="100"/>
        <c:tickLblSkip val="8"/>
        <c:noMultiLvlLbl val="0"/>
      </c:catAx>
      <c:valAx>
        <c:axId val="1414403376"/>
        <c:scaling>
          <c:orientation val="minMax"/>
          <c:min val="-0.1"/>
        </c:scaling>
        <c:delete val="0"/>
        <c:axPos val="l"/>
        <c:numFmt formatCode="0%" sourceLinked="1"/>
        <c:majorTickMark val="out"/>
        <c:minorTickMark val="none"/>
        <c:tickLblPos val="nextTo"/>
        <c:crossAx val="141439902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6431128141457413"/>
          <c:y val="0.11958359531625624"/>
          <c:w val="0.6673115873877582"/>
          <c:h val="3.6905190906359867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Dışa Açıklık: İhracat + İthalat  </a:t>
            </a:r>
          </a:p>
          <a:p>
            <a:pPr>
              <a:defRPr sz="1400"/>
            </a:pPr>
            <a:r>
              <a:rPr lang="en-US" sz="1400" b="0"/>
              <a:t>(i% GSYH)</a:t>
            </a:r>
          </a:p>
        </c:rich>
      </c:tx>
      <c:layout>
        <c:manualLayout>
          <c:xMode val="edge"/>
          <c:yMode val="edge"/>
          <c:x val="0.30582390400131454"/>
          <c:y val="2.421999618430964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0647603260118799E-2"/>
          <c:y val="0.15719384303266337"/>
          <c:w val="0.91109470309425244"/>
          <c:h val="0.60165971136483876"/>
        </c:manualLayout>
      </c:layout>
      <c:lineChart>
        <c:grouping val="standard"/>
        <c:varyColors val="0"/>
        <c:ser>
          <c:idx val="0"/>
          <c:order val="0"/>
          <c:tx>
            <c:v>Açıklık = İhracat + İthalat (% GSYH)</c:v>
          </c:tx>
          <c:spPr>
            <a:ln w="25400">
              <a:solidFill>
                <a:srgbClr val="114D97"/>
              </a:solidFill>
              <a:prstDash val="solid"/>
            </a:ln>
            <a:effectLst/>
          </c:spPr>
          <c:marker>
            <c:symbol val="none"/>
          </c:marker>
          <c:cat>
            <c:strRef>
              <c:f>'1a. Reel GSYH Payı'!$A$32:$A$103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'1a. Reel GSYH Payı'!$X$32:$X$103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272.71155077644767</c:v>
                </c:pt>
                <c:pt idx="45">
                  <c:v>293.19793478544204</c:v>
                </c:pt>
                <c:pt idx="46">
                  <c:v>318.24392792071274</c:v>
                </c:pt>
                <c:pt idx="47">
                  <c:v>316.31461532305957</c:v>
                </c:pt>
                <c:pt idx="48">
                  <c:v>362.50431181502671</c:v>
                </c:pt>
                <c:pt idx="49">
                  <c:v>400.17920440882847</c:v>
                </c:pt>
                <c:pt idx="50">
                  <c:v>472.09666278017937</c:v>
                </c:pt>
                <c:pt idx="51">
                  <c:v>562.89024267223351</c:v>
                </c:pt>
                <c:pt idx="52">
                  <c:v>826.94544017583871</c:v>
                </c:pt>
                <c:pt idx="53">
                  <c:v>920.82736483208123</c:v>
                </c:pt>
                <c:pt idx="54">
                  <c:v>965.40936634543164</c:v>
                </c:pt>
                <c:pt idx="55">
                  <c:v>725.37980538324427</c:v>
                </c:pt>
                <c:pt idx="56">
                  <c:v>685.31688141268341</c:v>
                </c:pt>
                <c:pt idx="57">
                  <c:v>530.51739028436725</c:v>
                </c:pt>
                <c:pt idx="58">
                  <c:v>499.36350800593289</c:v>
                </c:pt>
                <c:pt idx="59">
                  <c:v>451.81771556322474</c:v>
                </c:pt>
                <c:pt idx="60">
                  <c:v>553.72761960246658</c:v>
                </c:pt>
                <c:pt idx="61">
                  <c:v>572.73912298487994</c:v>
                </c:pt>
                <c:pt idx="62">
                  <c:v>581.3487695054464</c:v>
                </c:pt>
                <c:pt idx="63">
                  <c:v>605.42450408966283</c:v>
                </c:pt>
                <c:pt idx="64">
                  <c:v>498.27883620714414</c:v>
                </c:pt>
                <c:pt idx="65">
                  <c:v>497.59732144087388</c:v>
                </c:pt>
                <c:pt idx="66">
                  <c:v>472.77328757805543</c:v>
                </c:pt>
                <c:pt idx="67">
                  <c:v>553.39519965243653</c:v>
                </c:pt>
                <c:pt idx="68">
                  <c:v>470.02063391529134</c:v>
                </c:pt>
                <c:pt idx="69">
                  <c:v>448.87254018894998</c:v>
                </c:pt>
                <c:pt idx="70">
                  <c:v>414.73780461185748</c:v>
                </c:pt>
                <c:pt idx="71">
                  <c:v>410.12201976265101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C6-41E2-9417-2AD7F9A93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4399568"/>
        <c:axId val="1414404464"/>
      </c:lineChart>
      <c:catAx>
        <c:axId val="1414399568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crossAx val="1414404464"/>
        <c:crosses val="autoZero"/>
        <c:auto val="1"/>
        <c:lblAlgn val="ctr"/>
        <c:lblOffset val="100"/>
        <c:tickLblSkip val="4"/>
        <c:noMultiLvlLbl val="0"/>
      </c:catAx>
      <c:valAx>
        <c:axId val="1414404464"/>
        <c:scaling>
          <c:orientation val="minMax"/>
          <c:min val="20"/>
        </c:scaling>
        <c:delete val="0"/>
        <c:axPos val="l"/>
        <c:numFmt formatCode="0" sourceLinked="0"/>
        <c:majorTickMark val="in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crossAx val="1414399568"/>
        <c:crosses val="autoZero"/>
        <c:crossBetween val="between"/>
      </c:valAx>
      <c:spPr>
        <a:solidFill>
          <a:srgbClr val="FFFFFF"/>
        </a:solidFill>
        <a:ln w="3175">
          <a:noFill/>
          <a:prstDash val="solid"/>
        </a:ln>
      </c:spPr>
    </c:plotArea>
    <c:legend>
      <c:legendPos val="r"/>
      <c:layout>
        <c:manualLayout>
          <c:xMode val="edge"/>
          <c:yMode val="edge"/>
          <c:x val="4.3753187421043359E-2"/>
          <c:y val="0.14123836853668278"/>
          <c:w val="0.90960491606564442"/>
          <c:h val="6.1931408048746431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 w="25400">
      <a:noFill/>
    </a:ln>
  </c:spPr>
  <c:txPr>
    <a:bodyPr/>
    <a:lstStyle/>
    <a:p>
      <a:pPr>
        <a:defRPr>
          <a:solidFill>
            <a:schemeClr val="tx1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Reel GSYH Büyüme Oranı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814725082441753E-2"/>
          <c:y val="0.13302025166317297"/>
          <c:w val="0.89624170896628996"/>
          <c:h val="0.8322295029401573"/>
        </c:manualLayout>
      </c:layout>
      <c:lineChart>
        <c:grouping val="standard"/>
        <c:varyColors val="0"/>
        <c:ser>
          <c:idx val="0"/>
          <c:order val="0"/>
          <c:tx>
            <c:v>Reel GSYH büyüme oranı (yıllık % değişme)</c:v>
          </c:tx>
          <c:spPr>
            <a:ln w="38100">
              <a:solidFill>
                <a:srgbClr val="114D97"/>
              </a:solidFill>
              <a:prstDash val="solid"/>
            </a:ln>
            <a:effectLst/>
          </c:spPr>
          <c:marker>
            <c:symbol val="none"/>
          </c:marker>
          <c:trendline>
            <c:spPr>
              <a:ln>
                <a:solidFill>
                  <a:srgbClr val="787878"/>
                </a:solidFill>
                <a:prstDash val="sysDash"/>
              </a:ln>
            </c:spPr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cat>
            <c:strRef>
              <c:f>'1c. Büyümeye Katkı'!$A$33:$A$104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'1c. Büyümeye Katkı'!$R$33:$R$104</c:f>
              <c:numCache>
                <c:formatCode>0.0</c:formatCode>
                <c:ptCount val="72"/>
                <c:pt idx="44">
                  <c:v>-39.337968236926898</c:v>
                </c:pt>
                <c:pt idx="45">
                  <c:v>-9.7033246463181335</c:v>
                </c:pt>
                <c:pt idx="46">
                  <c:v>-23.686253763048803</c:v>
                </c:pt>
                <c:pt idx="47">
                  <c:v>-33.039517201412558</c:v>
                </c:pt>
                <c:pt idx="48">
                  <c:v>-39.337968236926898</c:v>
                </c:pt>
                <c:pt idx="49">
                  <c:v>-42.962652334460358</c:v>
                </c:pt>
                <c:pt idx="50">
                  <c:v>-29.038008430853868</c:v>
                </c:pt>
                <c:pt idx="51">
                  <c:v>4.6261410705870532</c:v>
                </c:pt>
                <c:pt idx="52">
                  <c:v>42.227381138869013</c:v>
                </c:pt>
                <c:pt idx="53">
                  <c:v>106.89095150552484</c:v>
                </c:pt>
                <c:pt idx="54">
                  <c:v>104.46611228781313</c:v>
                </c:pt>
                <c:pt idx="55">
                  <c:v>69.066698797625591</c:v>
                </c:pt>
                <c:pt idx="56">
                  <c:v>36.608635603988859</c:v>
                </c:pt>
                <c:pt idx="57">
                  <c:v>3.8428790518859612</c:v>
                </c:pt>
                <c:pt idx="58">
                  <c:v>-1.0774463696012204</c:v>
                </c:pt>
                <c:pt idx="59">
                  <c:v>-9.9484975160997191</c:v>
                </c:pt>
                <c:pt idx="60">
                  <c:v>42.097206426929205</c:v>
                </c:pt>
                <c:pt idx="61">
                  <c:v>30.213771638687238</c:v>
                </c:pt>
                <c:pt idx="62">
                  <c:v>37.302745887637045</c:v>
                </c:pt>
                <c:pt idx="63">
                  <c:v>20.496643882602726</c:v>
                </c:pt>
                <c:pt idx="64">
                  <c:v>6.5046783606874214</c:v>
                </c:pt>
                <c:pt idx="65">
                  <c:v>23.409504891398324</c:v>
                </c:pt>
                <c:pt idx="66">
                  <c:v>28.089150026032293</c:v>
                </c:pt>
                <c:pt idx="67">
                  <c:v>49.678228236857635</c:v>
                </c:pt>
                <c:pt idx="68">
                  <c:v>35.293495976083648</c:v>
                </c:pt>
                <c:pt idx="69">
                  <c:v>22.113223041751382</c:v>
                </c:pt>
                <c:pt idx="70">
                  <c:v>6.3735739093607302</c:v>
                </c:pt>
                <c:pt idx="71">
                  <c:v>-100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C-4F36-8CE5-C6E448304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7140384"/>
        <c:axId val="1537137664"/>
      </c:lineChart>
      <c:catAx>
        <c:axId val="1537140384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crossAx val="1537137664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1537137664"/>
        <c:scaling>
          <c:orientation val="minMax"/>
        </c:scaling>
        <c:delete val="0"/>
        <c:axPos val="l"/>
        <c:numFmt formatCode="0" sourceLinked="0"/>
        <c:majorTickMark val="in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crossAx val="1537140384"/>
        <c:crosses val="autoZero"/>
        <c:crossBetween val="between"/>
      </c:valAx>
      <c:spPr>
        <a:solidFill>
          <a:srgbClr val="FFFFFF"/>
        </a:solidFill>
        <a:ln w="3175">
          <a:noFill/>
          <a:prstDash val="solid"/>
        </a:ln>
      </c:spPr>
    </c:plotArea>
    <c:legend>
      <c:legendPos val="r"/>
      <c:layout>
        <c:manualLayout>
          <c:xMode val="edge"/>
          <c:yMode val="edge"/>
          <c:x val="0.15264893425544598"/>
          <c:y val="8.1623598832773356E-2"/>
          <c:w val="0.71736746217634628"/>
          <c:h val="8.1730375916183123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 w="9525">
      <a:noFill/>
    </a:ln>
  </c:spPr>
  <c:txPr>
    <a:bodyPr/>
    <a:lstStyle/>
    <a:p>
      <a:pPr>
        <a:defRPr>
          <a:solidFill>
            <a:schemeClr val="tx1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400" b="1">
                <a:solidFill>
                  <a:schemeClr val="tx1"/>
                </a:solidFill>
                <a:latin typeface="Helvetica" panose="020B0604020202020204" pitchFamily="34" charset="0"/>
                <a:cs typeface="Helvetica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Helvetica" panose="020B0604020202020204" pitchFamily="34" charset="0"/>
                <a:cs typeface="Helvetica" panose="020B0604020202020204" pitchFamily="34" charset="0"/>
              </a:rPr>
              <a:t>Büyümenin Kaynakları</a:t>
            </a:r>
          </a:p>
          <a:p>
            <a:pPr algn="l">
              <a:defRPr sz="1400" b="1">
                <a:solidFill>
                  <a:schemeClr val="tx1"/>
                </a:solidFill>
                <a:latin typeface="Helvetica" panose="020B0604020202020204" pitchFamily="34" charset="0"/>
                <a:cs typeface="Helvetica" panose="020B0604020202020204" pitchFamily="34" charset="0"/>
              </a:defRPr>
            </a:pPr>
            <a:r>
              <a:rPr lang="en-US" sz="1400" b="0" baseline="0">
                <a:solidFill>
                  <a:schemeClr val="tx1"/>
                </a:solidFill>
                <a:latin typeface="Helvetica" panose="020B0604020202020204" pitchFamily="34" charset="0"/>
                <a:cs typeface="Helvetica" panose="020B0604020202020204" pitchFamily="34" charset="0"/>
              </a:rPr>
              <a:t>(Reel GSYH Büyümesine Katkı -Y % değişme)</a:t>
            </a:r>
            <a:endParaRPr lang="en-US" sz="1400" b="0">
              <a:solidFill>
                <a:schemeClr val="tx1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c:rich>
      </c:tx>
      <c:layout>
        <c:manualLayout>
          <c:xMode val="edge"/>
          <c:yMode val="edge"/>
          <c:x val="0.36508037054870857"/>
          <c:y val="1.021298491094896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2754113118839797E-2"/>
          <c:y val="0.11106531009996971"/>
          <c:w val="0.91458382003864758"/>
          <c:h val="0.82732276134696525"/>
        </c:manualLayout>
      </c:layout>
      <c:barChart>
        <c:barDir val="col"/>
        <c:grouping val="stacked"/>
        <c:varyColors val="0"/>
        <c:ser>
          <c:idx val="0"/>
          <c:order val="0"/>
          <c:tx>
            <c:v>Özel Tüketim</c:v>
          </c:tx>
          <c:spPr>
            <a:solidFill>
              <a:srgbClr val="D3CCBD"/>
            </a:solidFill>
            <a:ln>
              <a:noFill/>
              <a:prstDash val="solid"/>
            </a:ln>
            <a:effectLst/>
          </c:spPr>
          <c:invertIfNegative val="0"/>
          <c:cat>
            <c:strRef>
              <c:f>'1c. Büyümeye Katkı'!$A$33:$A$104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'1c. Büyümeye Katkı'!$T$33:$T$104</c:f>
              <c:numCache>
                <c:formatCode>0.0</c:formatCode>
                <c:ptCount val="72"/>
                <c:pt idx="44">
                  <c:v>6.3838426313249643E-5</c:v>
                </c:pt>
                <c:pt idx="45">
                  <c:v>9.4949615765025004E-5</c:v>
                </c:pt>
                <c:pt idx="46">
                  <c:v>1.3958040569718005E-4</c:v>
                </c:pt>
                <c:pt idx="47">
                  <c:v>1.179905668426729E-4</c:v>
                </c:pt>
                <c:pt idx="48">
                  <c:v>1.7633259761137119E-4</c:v>
                </c:pt>
                <c:pt idx="49">
                  <c:v>1.8140515728508525E-4</c:v>
                </c:pt>
                <c:pt idx="50">
                  <c:v>1.8122549404774537E-4</c:v>
                </c:pt>
                <c:pt idx="51">
                  <c:v>2.12815307733954E-4</c:v>
                </c:pt>
                <c:pt idx="52">
                  <c:v>1.5703591991304377E-4</c:v>
                </c:pt>
                <c:pt idx="53">
                  <c:v>1.5483032818475439E-4</c:v>
                </c:pt>
                <c:pt idx="54">
                  <c:v>1.4734925185680493E-4</c:v>
                </c:pt>
                <c:pt idx="55">
                  <c:v>1.1935679418587791E-4</c:v>
                </c:pt>
                <c:pt idx="56">
                  <c:v>1.3265748921286306E-4</c:v>
                </c:pt>
                <c:pt idx="57">
                  <c:v>1.2328963603115489E-4</c:v>
                </c:pt>
                <c:pt idx="58">
                  <c:v>1.2981540341536153E-4</c:v>
                </c:pt>
                <c:pt idx="59">
                  <c:v>1.1006799042761281E-4</c:v>
                </c:pt>
                <c:pt idx="60">
                  <c:v>7.2608600149598143E-5</c:v>
                </c:pt>
                <c:pt idx="61">
                  <c:v>8.4821581873473917E-5</c:v>
                </c:pt>
                <c:pt idx="62">
                  <c:v>9.1452211091131775E-5</c:v>
                </c:pt>
                <c:pt idx="63">
                  <c:v>1.0676504620184701E-4</c:v>
                </c:pt>
                <c:pt idx="64">
                  <c:v>8.9594877821158112E-5</c:v>
                </c:pt>
                <c:pt idx="65">
                  <c:v>8.6255468726608207E-5</c:v>
                </c:pt>
                <c:pt idx="66">
                  <c:v>8.1736474066693987E-5</c:v>
                </c:pt>
                <c:pt idx="67">
                  <c:v>1.1163073516258863E-4</c:v>
                </c:pt>
                <c:pt idx="68">
                  <c:v>5.3645204815387122E-5</c:v>
                </c:pt>
                <c:pt idx="69">
                  <c:v>5.3723100722906815E-5</c:v>
                </c:pt>
                <c:pt idx="70">
                  <c:v>1.9615014724053392E-5</c:v>
                </c:pt>
                <c:pt idx="71">
                  <c:v>-8.1279240328925703E-4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5-456B-A5D8-0D811A86926A}"/>
            </c:ext>
          </c:extLst>
        </c:ser>
        <c:ser>
          <c:idx val="1"/>
          <c:order val="1"/>
          <c:tx>
            <c:v>Kamu Tüketimi</c:v>
          </c:tx>
          <c:spPr>
            <a:solidFill>
              <a:srgbClr val="FBB729"/>
            </a:solidFill>
            <a:ln>
              <a:noFill/>
              <a:prstDash val="solid"/>
            </a:ln>
            <a:effectLst/>
          </c:spPr>
          <c:invertIfNegative val="0"/>
          <c:cat>
            <c:strRef>
              <c:f>'1c. Büyümeye Katkı'!$A$33:$A$104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'1c. Büyümeye Katkı'!$U$33:$U$104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10.060467891251717</c:v>
                </c:pt>
                <c:pt idx="49">
                  <c:v>11.700032472229505</c:v>
                </c:pt>
                <c:pt idx="50">
                  <c:v>12.41996899902513</c:v>
                </c:pt>
                <c:pt idx="51">
                  <c:v>6.9743465640539899</c:v>
                </c:pt>
                <c:pt idx="52">
                  <c:v>13.826177903379309</c:v>
                </c:pt>
                <c:pt idx="53">
                  <c:v>12.853456580856989</c:v>
                </c:pt>
                <c:pt idx="54">
                  <c:v>8.7727111336561627</c:v>
                </c:pt>
                <c:pt idx="55">
                  <c:v>21.91978064338532</c:v>
                </c:pt>
                <c:pt idx="56">
                  <c:v>24.853578222709178</c:v>
                </c:pt>
                <c:pt idx="57">
                  <c:v>47.713890097007507</c:v>
                </c:pt>
                <c:pt idx="58">
                  <c:v>51.995830562436851</c:v>
                </c:pt>
                <c:pt idx="59">
                  <c:v>26.023096255632833</c:v>
                </c:pt>
                <c:pt idx="60">
                  <c:v>35.043685384847279</c:v>
                </c:pt>
                <c:pt idx="61">
                  <c:v>16.263142143385409</c:v>
                </c:pt>
                <c:pt idx="62">
                  <c:v>18.758729619407355</c:v>
                </c:pt>
                <c:pt idx="63">
                  <c:v>16.071409208731254</c:v>
                </c:pt>
                <c:pt idx="64">
                  <c:v>27.417140766722635</c:v>
                </c:pt>
                <c:pt idx="65">
                  <c:v>15.390021594193252</c:v>
                </c:pt>
                <c:pt idx="66">
                  <c:v>17.479662753911992</c:v>
                </c:pt>
                <c:pt idx="67">
                  <c:v>18.564378390666427</c:v>
                </c:pt>
                <c:pt idx="68">
                  <c:v>-0.18202589799494318</c:v>
                </c:pt>
                <c:pt idx="69">
                  <c:v>18.971429592537596</c:v>
                </c:pt>
                <c:pt idx="70">
                  <c:v>18.150872238071514</c:v>
                </c:pt>
                <c:pt idx="71">
                  <c:v>31.178214194174362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65-456B-A5D8-0D811A86926A}"/>
            </c:ext>
          </c:extLst>
        </c:ser>
        <c:ser>
          <c:idx val="2"/>
          <c:order val="2"/>
          <c:tx>
            <c:v>Kamu Yatırımları</c:v>
          </c:tx>
          <c:spPr>
            <a:solidFill>
              <a:srgbClr val="49A078"/>
            </a:solidFill>
            <a:ln>
              <a:noFill/>
              <a:prstDash val="solid"/>
            </a:ln>
            <a:effectLst/>
          </c:spPr>
          <c:invertIfNegative val="0"/>
          <c:cat>
            <c:strRef>
              <c:f>'1c. Büyümeye Katkı'!$A$33:$A$104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'1c. Büyümeye Katkı'!$V$33:$V$104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65-456B-A5D8-0D811A86926A}"/>
            </c:ext>
          </c:extLst>
        </c:ser>
        <c:ser>
          <c:idx val="3"/>
          <c:order val="3"/>
          <c:tx>
            <c:v>Özel Yatırımlar</c:v>
          </c:tx>
          <c:spPr>
            <a:solidFill>
              <a:srgbClr val="114D97"/>
            </a:solidFill>
            <a:ln>
              <a:noFill/>
              <a:prstDash val="solid"/>
            </a:ln>
            <a:effectLst/>
          </c:spPr>
          <c:invertIfNegative val="0"/>
          <c:cat>
            <c:strRef>
              <c:f>'1c. Büyümeye Katkı'!$A$33:$A$104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'1c. Büyümeye Katkı'!$W$33:$W$104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65-456B-A5D8-0D811A86926A}"/>
            </c:ext>
          </c:extLst>
        </c:ser>
        <c:ser>
          <c:idx val="4"/>
          <c:order val="4"/>
          <c:tx>
            <c:v>Stok Değişimi</c:v>
          </c:tx>
          <c:spPr>
            <a:solidFill>
              <a:srgbClr val="FE5F2D"/>
            </a:solidFill>
            <a:ln>
              <a:noFill/>
              <a:prstDash val="solid"/>
            </a:ln>
            <a:effectLst/>
          </c:spPr>
          <c:invertIfNegative val="0"/>
          <c:cat>
            <c:strRef>
              <c:f>'1c. Büyümeye Katkı'!$A$33:$A$104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'1c. Büyümeye Katkı'!$X$33:$X$104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65-456B-A5D8-0D811A86926A}"/>
            </c:ext>
          </c:extLst>
        </c:ser>
        <c:ser>
          <c:idx val="5"/>
          <c:order val="5"/>
          <c:tx>
            <c:v>Net İhracat</c:v>
          </c:tx>
          <c:spPr>
            <a:solidFill>
              <a:srgbClr val="0090C1"/>
            </a:solidFill>
            <a:ln>
              <a:noFill/>
              <a:prstDash val="solid"/>
            </a:ln>
            <a:effectLst/>
          </c:spPr>
          <c:invertIfNegative val="0"/>
          <c:cat>
            <c:strRef>
              <c:f>'1c. Büyümeye Katkı'!$A$33:$A$104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'1c. Büyümeye Katkı'!$Y$33:$Y$104</c:f>
              <c:numCache>
                <c:formatCode>0.0</c:formatCode>
                <c:ptCount val="72"/>
                <c:pt idx="48">
                  <c:v>-53.164322472903834</c:v>
                </c:pt>
                <c:pt idx="49">
                  <c:v>-55.816290320474636</c:v>
                </c:pt>
                <c:pt idx="50">
                  <c:v>-37.810900790004084</c:v>
                </c:pt>
                <c:pt idx="51">
                  <c:v>-17.293852388105979</c:v>
                </c:pt>
                <c:pt idx="52">
                  <c:v>17.37364588023992</c:v>
                </c:pt>
                <c:pt idx="53">
                  <c:v>59.17690657818914</c:v>
                </c:pt>
                <c:pt idx="54">
                  <c:v>52.470134376124442</c:v>
                </c:pt>
                <c:pt idx="55">
                  <c:v>43.043483185198575</c:v>
                </c:pt>
                <c:pt idx="56">
                  <c:v>1.5648175616523767</c:v>
                </c:pt>
                <c:pt idx="57">
                  <c:v>-12.42038638113546</c:v>
                </c:pt>
                <c:pt idx="58">
                  <c:v>-19.836305804412003</c:v>
                </c:pt>
                <c:pt idx="59">
                  <c:v>-26.020016792821405</c:v>
                </c:pt>
                <c:pt idx="60">
                  <c:v>14.679993051606397</c:v>
                </c:pt>
                <c:pt idx="61">
                  <c:v>14.823665222912128</c:v>
                </c:pt>
                <c:pt idx="62">
                  <c:v>19.822991681513955</c:v>
                </c:pt>
                <c:pt idx="63">
                  <c:v>1.9321587268900917</c:v>
                </c:pt>
                <c:pt idx="64">
                  <c:v>6.6866146638045532</c:v>
                </c:pt>
                <c:pt idx="65">
                  <c:v>4.4379890433920028</c:v>
                </c:pt>
                <c:pt idx="66">
                  <c:v>9.938196051486722</c:v>
                </c:pt>
                <c:pt idx="67">
                  <c:v>18.499902411948128</c:v>
                </c:pt>
                <c:pt idx="68">
                  <c:v>0.76735614944165897</c:v>
                </c:pt>
                <c:pt idx="69">
                  <c:v>-6.6154389451029054</c:v>
                </c:pt>
                <c:pt idx="70">
                  <c:v>-7.4985084615864963</c:v>
                </c:pt>
                <c:pt idx="71">
                  <c:v>17.672229576163172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65-456B-A5D8-0D811A869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537146368"/>
        <c:axId val="1537141472"/>
      </c:barChart>
      <c:lineChart>
        <c:grouping val="standard"/>
        <c:varyColors val="0"/>
        <c:ser>
          <c:idx val="6"/>
          <c:order val="6"/>
          <c:tx>
            <c:strRef>
              <c:f>'1c. Büyümeye Katkı'!$R$12</c:f>
              <c:strCache>
                <c:ptCount val="1"/>
                <c:pt idx="0">
                  <c:v>Reel GSYH Büyüme Oranı( yıllık % değişim)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'1c. Büyümeye Katkı'!$A$33:$A$104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'1c. Büyümeye Katkı'!$R$33:$R$104</c:f>
              <c:numCache>
                <c:formatCode>0.0</c:formatCode>
                <c:ptCount val="72"/>
                <c:pt idx="44">
                  <c:v>-39.337968236926898</c:v>
                </c:pt>
                <c:pt idx="45">
                  <c:v>-9.7033246463181335</c:v>
                </c:pt>
                <c:pt idx="46">
                  <c:v>-23.686253763048803</c:v>
                </c:pt>
                <c:pt idx="47">
                  <c:v>-33.039517201412558</c:v>
                </c:pt>
                <c:pt idx="48">
                  <c:v>-39.337968236926898</c:v>
                </c:pt>
                <c:pt idx="49">
                  <c:v>-42.962652334460358</c:v>
                </c:pt>
                <c:pt idx="50">
                  <c:v>-29.038008430853868</c:v>
                </c:pt>
                <c:pt idx="51">
                  <c:v>4.6261410705870532</c:v>
                </c:pt>
                <c:pt idx="52">
                  <c:v>42.227381138869013</c:v>
                </c:pt>
                <c:pt idx="53">
                  <c:v>106.89095150552484</c:v>
                </c:pt>
                <c:pt idx="54">
                  <c:v>104.46611228781313</c:v>
                </c:pt>
                <c:pt idx="55">
                  <c:v>69.066698797625591</c:v>
                </c:pt>
                <c:pt idx="56">
                  <c:v>36.608635603988859</c:v>
                </c:pt>
                <c:pt idx="57">
                  <c:v>3.8428790518859612</c:v>
                </c:pt>
                <c:pt idx="58">
                  <c:v>-1.0774463696012204</c:v>
                </c:pt>
                <c:pt idx="59">
                  <c:v>-9.9484975160997191</c:v>
                </c:pt>
                <c:pt idx="60">
                  <c:v>42.097206426929205</c:v>
                </c:pt>
                <c:pt idx="61">
                  <c:v>30.213771638687238</c:v>
                </c:pt>
                <c:pt idx="62">
                  <c:v>37.302745887637045</c:v>
                </c:pt>
                <c:pt idx="63">
                  <c:v>20.496643882602726</c:v>
                </c:pt>
                <c:pt idx="64">
                  <c:v>6.5046783606874214</c:v>
                </c:pt>
                <c:pt idx="65">
                  <c:v>23.409504891398324</c:v>
                </c:pt>
                <c:pt idx="66">
                  <c:v>28.089150026032293</c:v>
                </c:pt>
                <c:pt idx="67">
                  <c:v>49.678228236857635</c:v>
                </c:pt>
                <c:pt idx="68">
                  <c:v>35.293495976083648</c:v>
                </c:pt>
                <c:pt idx="69">
                  <c:v>22.113223041751382</c:v>
                </c:pt>
                <c:pt idx="70">
                  <c:v>6.3735739093607302</c:v>
                </c:pt>
                <c:pt idx="71">
                  <c:v>-100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65-456B-A5D8-0D811A869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7146368"/>
        <c:axId val="1537141472"/>
      </c:lineChart>
      <c:catAx>
        <c:axId val="1537146368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200" b="0"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537141472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1537141472"/>
        <c:scaling>
          <c:orientation val="minMax"/>
        </c:scaling>
        <c:delete val="0"/>
        <c:axPos val="l"/>
        <c:numFmt formatCode="0" sourceLinked="0"/>
        <c:majorTickMark val="in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400" b="0"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537146368"/>
        <c:crosses val="autoZero"/>
        <c:crossBetween val="between"/>
      </c:valAx>
      <c:spPr>
        <a:solidFill>
          <a:srgbClr val="FFFFFF"/>
        </a:solidFill>
        <a:ln w="3175"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7.880745056925495E-2"/>
          <c:y val="8.8446056367792847E-2"/>
          <c:w val="0.91998465359644466"/>
          <c:h val="9.609984972744294E-2"/>
        </c:manualLayout>
      </c:layout>
      <c:overlay val="0"/>
      <c:txPr>
        <a:bodyPr/>
        <a:lstStyle/>
        <a:p>
          <a:pPr>
            <a:defRPr sz="1200"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Özel Tüketimin Bileşenleri </a:t>
            </a:r>
          </a:p>
          <a:p>
            <a:pPr>
              <a:defRPr sz="1400"/>
            </a:pPr>
            <a:r>
              <a:rPr lang="en-US" sz="1400" b="0"/>
              <a:t>(% GSYH)</a:t>
            </a:r>
          </a:p>
        </c:rich>
      </c:tx>
      <c:layout>
        <c:manualLayout>
          <c:xMode val="edge"/>
          <c:yMode val="edge"/>
          <c:x val="0.33239117996260015"/>
          <c:y val="2.783061900467290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2423643539104777E-2"/>
          <c:y val="0.1544898505199282"/>
          <c:w val="0.95993857540107685"/>
          <c:h val="0.775549044700846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'1a. Reel GSYH Payı'!$A$32</c:f>
              <c:strCache>
                <c:ptCount val="1"/>
                <c:pt idx="0">
                  <c:v>Q1-1998</c:v>
                </c:pt>
              </c:strCache>
            </c:strRef>
          </c:tx>
          <c:spPr>
            <a:solidFill>
              <a:srgbClr val="114D97"/>
            </a:solidFill>
            <a:ln>
              <a:noFill/>
              <a:prstDash val="solid"/>
            </a:ln>
            <a:effectLst/>
          </c:spPr>
          <c:invertIfNegative val="0"/>
          <c:cat>
            <c:strRef>
              <c:f>'1a. Reel GSYH Payı'!$C$11:$F$11</c:f>
              <c:strCache>
                <c:ptCount val="4"/>
                <c:pt idx="0">
                  <c:v>Dayanıklı Tüketim</c:v>
                </c:pt>
                <c:pt idx="1">
                  <c:v>Yarı-Dayanıklı Tüketim</c:v>
                </c:pt>
                <c:pt idx="2">
                  <c:v>Dayanıksız Tüketim</c:v>
                </c:pt>
                <c:pt idx="3">
                  <c:v>Hizmetler</c:v>
                </c:pt>
              </c:strCache>
            </c:strRef>
          </c:cat>
          <c:val>
            <c:numRef>
              <c:f>'1a. Reel GSYH Payı'!$C$110:$F$110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7-40D3-A717-2DF2C2DC2B8F}"/>
            </c:ext>
          </c:extLst>
        </c:ser>
        <c:ser>
          <c:idx val="1"/>
          <c:order val="1"/>
          <c:tx>
            <c:strRef>
              <c:f>'1a. Reel GSYH Payı'!$A$33</c:f>
              <c:strCache>
                <c:ptCount val="1"/>
                <c:pt idx="0">
                  <c:v>Q2-1998</c:v>
                </c:pt>
              </c:strCache>
            </c:strRef>
          </c:tx>
          <c:spPr>
            <a:solidFill>
              <a:srgbClr val="D3CCBD"/>
            </a:solidFill>
            <a:ln>
              <a:noFill/>
              <a:prstDash val="solid"/>
            </a:ln>
            <a:effectLst/>
          </c:spPr>
          <c:invertIfNegative val="0"/>
          <c:cat>
            <c:strRef>
              <c:f>'1a. Reel GSYH Payı'!$C$11:$F$11</c:f>
              <c:strCache>
                <c:ptCount val="4"/>
                <c:pt idx="0">
                  <c:v>Dayanıklı Tüketim</c:v>
                </c:pt>
                <c:pt idx="1">
                  <c:v>Yarı-Dayanıklı Tüketim</c:v>
                </c:pt>
                <c:pt idx="2">
                  <c:v>Dayanıksız Tüketim</c:v>
                </c:pt>
                <c:pt idx="3">
                  <c:v>Hizmetler</c:v>
                </c:pt>
              </c:strCache>
            </c:strRef>
          </c:cat>
          <c:val>
            <c:numRef>
              <c:f>'1a. Reel GSYH Payı'!$C$111:$F$111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B7-40D3-A717-2DF2C2DC2B8F}"/>
            </c:ext>
          </c:extLst>
        </c:ser>
        <c:ser>
          <c:idx val="2"/>
          <c:order val="2"/>
          <c:tx>
            <c:strRef>
              <c:f>'1a. Reel GSYH Payı'!$A$34</c:f>
              <c:strCache>
                <c:ptCount val="1"/>
                <c:pt idx="0">
                  <c:v>Q3-1998</c:v>
                </c:pt>
              </c:strCache>
            </c:strRef>
          </c:tx>
          <c:spPr>
            <a:solidFill>
              <a:srgbClr val="49A078"/>
            </a:solidFill>
            <a:ln>
              <a:noFill/>
              <a:prstDash val="solid"/>
            </a:ln>
            <a:effectLst/>
          </c:spPr>
          <c:invertIfNegative val="0"/>
          <c:cat>
            <c:strRef>
              <c:f>'1a. Reel GSYH Payı'!$C$11:$F$11</c:f>
              <c:strCache>
                <c:ptCount val="4"/>
                <c:pt idx="0">
                  <c:v>Dayanıklı Tüketim</c:v>
                </c:pt>
                <c:pt idx="1">
                  <c:v>Yarı-Dayanıklı Tüketim</c:v>
                </c:pt>
                <c:pt idx="2">
                  <c:v>Dayanıksız Tüketim</c:v>
                </c:pt>
                <c:pt idx="3">
                  <c:v>Hizmetler</c:v>
                </c:pt>
              </c:strCache>
            </c:strRef>
          </c:cat>
          <c:val>
            <c:numRef>
              <c:f>'1a. Reel GSYH Payı'!$C$112:$F$112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B7-40D3-A717-2DF2C2DC2B8F}"/>
            </c:ext>
          </c:extLst>
        </c:ser>
        <c:ser>
          <c:idx val="3"/>
          <c:order val="3"/>
          <c:tx>
            <c:strRef>
              <c:f>'1a. Reel GSYH Payı'!$A$35</c:f>
              <c:strCache>
                <c:ptCount val="1"/>
                <c:pt idx="0">
                  <c:v>Q4-1998</c:v>
                </c:pt>
              </c:strCache>
            </c:strRef>
          </c:tx>
          <c:spPr>
            <a:solidFill>
              <a:srgbClr val="98252B"/>
            </a:solidFill>
            <a:ln>
              <a:noFill/>
              <a:prstDash val="solid"/>
            </a:ln>
            <a:effectLst/>
          </c:spPr>
          <c:invertIfNegative val="0"/>
          <c:cat>
            <c:strRef>
              <c:f>'1a. Reel GSYH Payı'!$C$11:$F$11</c:f>
              <c:strCache>
                <c:ptCount val="4"/>
                <c:pt idx="0">
                  <c:v>Dayanıklı Tüketim</c:v>
                </c:pt>
                <c:pt idx="1">
                  <c:v>Yarı-Dayanıklı Tüketim</c:v>
                </c:pt>
                <c:pt idx="2">
                  <c:v>Dayanıksız Tüketim</c:v>
                </c:pt>
                <c:pt idx="3">
                  <c:v>Hizmetler</c:v>
                </c:pt>
              </c:strCache>
            </c:strRef>
          </c:cat>
          <c:val>
            <c:numRef>
              <c:f>'1a. Reel GSYH Payı'!$C$113:$F$113</c:f>
              <c:numCache>
                <c:formatCode>0.0</c:formatCode>
                <c:ptCount val="4"/>
                <c:pt idx="0">
                  <c:v>21234.658333333329</c:v>
                </c:pt>
                <c:pt idx="1">
                  <c:v>23773.470833333336</c:v>
                </c:pt>
                <c:pt idx="2">
                  <c:v>70537.887499999997</c:v>
                </c:pt>
                <c:pt idx="3">
                  <c:v>98735.375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B7-40D3-A717-2DF2C2DC2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537133856"/>
        <c:axId val="1537142016"/>
      </c:barChart>
      <c:catAx>
        <c:axId val="15371338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crossAx val="1537142016"/>
        <c:crosses val="autoZero"/>
        <c:auto val="1"/>
        <c:lblAlgn val="ctr"/>
        <c:lblOffset val="100"/>
        <c:noMultiLvlLbl val="0"/>
      </c:catAx>
      <c:valAx>
        <c:axId val="1537142016"/>
        <c:scaling>
          <c:orientation val="minMax"/>
        </c:scaling>
        <c:delete val="0"/>
        <c:axPos val="l"/>
        <c:numFmt formatCode="0" sourceLinked="0"/>
        <c:majorTickMark val="in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crossAx val="1537133856"/>
        <c:crosses val="autoZero"/>
        <c:crossBetween val="between"/>
      </c:valAx>
      <c:spPr>
        <a:solidFill>
          <a:srgbClr val="FFFFFF"/>
        </a:solidFill>
        <a:ln w="3175"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546236059395715"/>
          <c:y val="0.1629093326102071"/>
          <c:w val="0.78112400006258309"/>
          <c:h val="7.3219477196943397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 w="25400">
      <a:noFill/>
    </a:ln>
  </c:spPr>
  <c:txPr>
    <a:bodyPr/>
    <a:lstStyle/>
    <a:p>
      <a:pPr>
        <a:defRPr>
          <a:solidFill>
            <a:schemeClr val="tx1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Reel GSYH</a:t>
            </a:r>
            <a:r>
              <a:rPr lang="en-US" sz="1400" baseline="0"/>
              <a:t> ve Özel Tüketim Büyüme Oranları</a:t>
            </a:r>
            <a:r>
              <a:rPr lang="en-US" sz="1400"/>
              <a:t> </a:t>
            </a:r>
          </a:p>
          <a:p>
            <a:pPr>
              <a:defRPr sz="1400"/>
            </a:pPr>
            <a:r>
              <a:rPr lang="en-US" sz="1400" b="0"/>
              <a:t>(%</a:t>
            </a:r>
            <a:r>
              <a:rPr lang="en-US" sz="1400" b="0" baseline="0"/>
              <a:t>)</a:t>
            </a:r>
            <a:endParaRPr lang="en-US" sz="1400" b="0"/>
          </a:p>
        </c:rich>
      </c:tx>
      <c:layout>
        <c:manualLayout>
          <c:xMode val="edge"/>
          <c:yMode val="edge"/>
          <c:x val="0.29657166191570078"/>
          <c:y val="1.861075556334390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0010121939741412E-2"/>
          <c:y val="0.13539885311080979"/>
          <c:w val="0.93200307708673602"/>
          <c:h val="0.81606576200609415"/>
        </c:manualLayout>
      </c:layout>
      <c:lineChart>
        <c:grouping val="standard"/>
        <c:varyColors val="0"/>
        <c:ser>
          <c:idx val="0"/>
          <c:order val="0"/>
          <c:tx>
            <c:v>Reel GSYH Büyüme Oranı (yıllık %)</c:v>
          </c:tx>
          <c:spPr>
            <a:ln w="25400">
              <a:solidFill>
                <a:srgbClr val="787878"/>
              </a:solidFill>
              <a:prstDash val="solid"/>
            </a:ln>
            <a:effectLst/>
          </c:spPr>
          <c:marker>
            <c:symbol val="none"/>
          </c:marker>
          <c:cat>
            <c:strRef>
              <c:f>'1c. Büyümeye Katkı'!$A$33:$A$104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'1c. Büyümeye Katkı'!$R$33:$R$104</c:f>
              <c:numCache>
                <c:formatCode>0.0</c:formatCode>
                <c:ptCount val="72"/>
                <c:pt idx="44">
                  <c:v>-39.337968236926898</c:v>
                </c:pt>
                <c:pt idx="45">
                  <c:v>-9.7033246463181335</c:v>
                </c:pt>
                <c:pt idx="46">
                  <c:v>-23.686253763048803</c:v>
                </c:pt>
                <c:pt idx="47">
                  <c:v>-33.039517201412558</c:v>
                </c:pt>
                <c:pt idx="48">
                  <c:v>-39.337968236926898</c:v>
                </c:pt>
                <c:pt idx="49">
                  <c:v>-42.962652334460358</c:v>
                </c:pt>
                <c:pt idx="50">
                  <c:v>-29.038008430853868</c:v>
                </c:pt>
                <c:pt idx="51">
                  <c:v>4.6261410705870532</c:v>
                </c:pt>
                <c:pt idx="52">
                  <c:v>42.227381138869013</c:v>
                </c:pt>
                <c:pt idx="53">
                  <c:v>106.89095150552484</c:v>
                </c:pt>
                <c:pt idx="54">
                  <c:v>104.46611228781313</c:v>
                </c:pt>
                <c:pt idx="55">
                  <c:v>69.066698797625591</c:v>
                </c:pt>
                <c:pt idx="56">
                  <c:v>36.608635603988859</c:v>
                </c:pt>
                <c:pt idx="57">
                  <c:v>3.8428790518859612</c:v>
                </c:pt>
                <c:pt idx="58">
                  <c:v>-1.0774463696012204</c:v>
                </c:pt>
                <c:pt idx="59">
                  <c:v>-9.9484975160997191</c:v>
                </c:pt>
                <c:pt idx="60">
                  <c:v>42.097206426929205</c:v>
                </c:pt>
                <c:pt idx="61">
                  <c:v>30.213771638687238</c:v>
                </c:pt>
                <c:pt idx="62">
                  <c:v>37.302745887637045</c:v>
                </c:pt>
                <c:pt idx="63">
                  <c:v>20.496643882602726</c:v>
                </c:pt>
                <c:pt idx="64">
                  <c:v>6.5046783606874214</c:v>
                </c:pt>
                <c:pt idx="65">
                  <c:v>23.409504891398324</c:v>
                </c:pt>
                <c:pt idx="66">
                  <c:v>28.089150026032293</c:v>
                </c:pt>
                <c:pt idx="67">
                  <c:v>49.678228236857635</c:v>
                </c:pt>
                <c:pt idx="68">
                  <c:v>35.293495976083648</c:v>
                </c:pt>
                <c:pt idx="69">
                  <c:v>22.113223041751382</c:v>
                </c:pt>
                <c:pt idx="70">
                  <c:v>6.3735739093607302</c:v>
                </c:pt>
                <c:pt idx="71">
                  <c:v>-100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DC-4A76-A998-CEBA49FD94C9}"/>
            </c:ext>
          </c:extLst>
        </c:ser>
        <c:ser>
          <c:idx val="1"/>
          <c:order val="1"/>
          <c:tx>
            <c:v>Reel Özel Tüketim Büyümesi (yıllık %)</c:v>
          </c:tx>
          <c:spPr>
            <a:ln w="25400">
              <a:solidFill>
                <a:srgbClr val="98252B"/>
              </a:solidFill>
              <a:prstDash val="sysDash"/>
            </a:ln>
            <a:effectLst/>
          </c:spPr>
          <c:marker>
            <c:symbol val="none"/>
          </c:marker>
          <c:cat>
            <c:strRef>
              <c:f>'1c. Büyümeye Katkı'!$A$33:$A$104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'1c. Büyümeye Katkı'!$T$33:$T$104</c:f>
              <c:numCache>
                <c:formatCode>0.0</c:formatCode>
                <c:ptCount val="72"/>
                <c:pt idx="44">
                  <c:v>6.3838426313249643E-5</c:v>
                </c:pt>
                <c:pt idx="45">
                  <c:v>9.4949615765025004E-5</c:v>
                </c:pt>
                <c:pt idx="46">
                  <c:v>1.3958040569718005E-4</c:v>
                </c:pt>
                <c:pt idx="47">
                  <c:v>1.179905668426729E-4</c:v>
                </c:pt>
                <c:pt idx="48">
                  <c:v>1.7633259761137119E-4</c:v>
                </c:pt>
                <c:pt idx="49">
                  <c:v>1.8140515728508525E-4</c:v>
                </c:pt>
                <c:pt idx="50">
                  <c:v>1.8122549404774537E-4</c:v>
                </c:pt>
                <c:pt idx="51">
                  <c:v>2.12815307733954E-4</c:v>
                </c:pt>
                <c:pt idx="52">
                  <c:v>1.5703591991304377E-4</c:v>
                </c:pt>
                <c:pt idx="53">
                  <c:v>1.5483032818475439E-4</c:v>
                </c:pt>
                <c:pt idx="54">
                  <c:v>1.4734925185680493E-4</c:v>
                </c:pt>
                <c:pt idx="55">
                  <c:v>1.1935679418587791E-4</c:v>
                </c:pt>
                <c:pt idx="56">
                  <c:v>1.3265748921286306E-4</c:v>
                </c:pt>
                <c:pt idx="57">
                  <c:v>1.2328963603115489E-4</c:v>
                </c:pt>
                <c:pt idx="58">
                  <c:v>1.2981540341536153E-4</c:v>
                </c:pt>
                <c:pt idx="59">
                  <c:v>1.1006799042761281E-4</c:v>
                </c:pt>
                <c:pt idx="60">
                  <c:v>7.2608600149598143E-5</c:v>
                </c:pt>
                <c:pt idx="61">
                  <c:v>8.4821581873473917E-5</c:v>
                </c:pt>
                <c:pt idx="62">
                  <c:v>9.1452211091131775E-5</c:v>
                </c:pt>
                <c:pt idx="63">
                  <c:v>1.0676504620184701E-4</c:v>
                </c:pt>
                <c:pt idx="64">
                  <c:v>8.9594877821158112E-5</c:v>
                </c:pt>
                <c:pt idx="65">
                  <c:v>8.6255468726608207E-5</c:v>
                </c:pt>
                <c:pt idx="66">
                  <c:v>8.1736474066693987E-5</c:v>
                </c:pt>
                <c:pt idx="67">
                  <c:v>1.1163073516258863E-4</c:v>
                </c:pt>
                <c:pt idx="68">
                  <c:v>5.3645204815387122E-5</c:v>
                </c:pt>
                <c:pt idx="69">
                  <c:v>5.3723100722906815E-5</c:v>
                </c:pt>
                <c:pt idx="70">
                  <c:v>1.9615014724053392E-5</c:v>
                </c:pt>
                <c:pt idx="71">
                  <c:v>-8.1279240328925703E-4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DC-4A76-A998-CEBA49FD9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7132768"/>
        <c:axId val="1537134400"/>
      </c:lineChart>
      <c:catAx>
        <c:axId val="15371327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crossAx val="153713440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1537134400"/>
        <c:scaling>
          <c:orientation val="minMax"/>
          <c:min val="-15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25400">
            <a:noFill/>
          </a:ln>
        </c:spPr>
        <c:crossAx val="1537132768"/>
        <c:crosses val="autoZero"/>
        <c:crossBetween val="between"/>
      </c:valAx>
      <c:spPr>
        <a:solidFill>
          <a:srgbClr val="FFFFFF"/>
        </a:solidFill>
        <a:ln w="3175"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5455933374271619"/>
          <c:y val="0.1231154521638307"/>
          <c:w val="0.68546637189110904"/>
          <c:h val="4.425941663751140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 w="9525">
      <a:noFill/>
    </a:ln>
  </c:spPr>
  <c:txPr>
    <a:bodyPr/>
    <a:lstStyle/>
    <a:p>
      <a:pPr>
        <a:defRPr>
          <a:solidFill>
            <a:schemeClr val="tx1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Özel Tüketim Bileşenlerinin Büyüme Oranları  </a:t>
            </a:r>
          </a:p>
          <a:p>
            <a:pPr>
              <a:defRPr/>
            </a:pPr>
            <a:r>
              <a:rPr lang="en-US"/>
              <a:t>(%)</a:t>
            </a:r>
          </a:p>
        </c:rich>
      </c:tx>
      <c:layout>
        <c:manualLayout>
          <c:xMode val="edge"/>
          <c:yMode val="edge"/>
          <c:x val="0.37192378006111443"/>
          <c:y val="1.5277028275959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0185938175361257E-2"/>
          <c:y val="0.10068950454609453"/>
          <c:w val="0.96336115679515133"/>
          <c:h val="0.862167438259065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'2.Özel Tüketim'!$S$11</c:f>
              <c:strCache>
                <c:ptCount val="1"/>
                <c:pt idx="0">
                  <c:v>Dayanıklı Tüketim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'2.Özel Tüketim'!$A$32:$A$103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'2.Özel Tüketim'!$S$32:$S$103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26.725293751253652</c:v>
                </c:pt>
                <c:pt idx="49">
                  <c:v>4.3483277326679781</c:v>
                </c:pt>
                <c:pt idx="50">
                  <c:v>10.802870564472933</c:v>
                </c:pt>
                <c:pt idx="51">
                  <c:v>39.276270724539501</c:v>
                </c:pt>
                <c:pt idx="52">
                  <c:v>37.702227627917836</c:v>
                </c:pt>
                <c:pt idx="53">
                  <c:v>31.985985183547115</c:v>
                </c:pt>
                <c:pt idx="54">
                  <c:v>22.918536726830819</c:v>
                </c:pt>
                <c:pt idx="55">
                  <c:v>4.6495393825292997</c:v>
                </c:pt>
                <c:pt idx="56">
                  <c:v>-5.6450588342055186</c:v>
                </c:pt>
                <c:pt idx="57">
                  <c:v>-0.31101267612271277</c:v>
                </c:pt>
                <c:pt idx="58">
                  <c:v>0.41849700592075934</c:v>
                </c:pt>
                <c:pt idx="59">
                  <c:v>9.2997988740992419</c:v>
                </c:pt>
                <c:pt idx="60">
                  <c:v>25.557179862019463</c:v>
                </c:pt>
                <c:pt idx="61">
                  <c:v>23.613015047664064</c:v>
                </c:pt>
                <c:pt idx="62">
                  <c:v>32.906138294837305</c:v>
                </c:pt>
                <c:pt idx="63">
                  <c:v>24.449232277184674</c:v>
                </c:pt>
                <c:pt idx="64">
                  <c:v>10.084565732494477</c:v>
                </c:pt>
                <c:pt idx="65">
                  <c:v>1.2525865402183145</c:v>
                </c:pt>
                <c:pt idx="66">
                  <c:v>0.45793751341614009</c:v>
                </c:pt>
                <c:pt idx="67">
                  <c:v>11.201842701638377</c:v>
                </c:pt>
                <c:pt idx="68">
                  <c:v>13.008646763030441</c:v>
                </c:pt>
                <c:pt idx="69">
                  <c:v>17.005383947192843</c:v>
                </c:pt>
                <c:pt idx="70">
                  <c:v>12.763381166858689</c:v>
                </c:pt>
                <c:pt idx="71">
                  <c:v>1.120198314858234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C-41A0-85D9-C551771D626A}"/>
            </c:ext>
          </c:extLst>
        </c:ser>
        <c:ser>
          <c:idx val="1"/>
          <c:order val="1"/>
          <c:tx>
            <c:strRef>
              <c:f>'2.Özel Tüketim'!$U$11</c:f>
              <c:strCache>
                <c:ptCount val="1"/>
                <c:pt idx="0">
                  <c:v>Dayanıksız Tüketim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'2.Özel Tüketim'!$A$32:$A$103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'2.Özel Tüketim'!$U$32:$U$103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4.2933016353475795</c:v>
                </c:pt>
                <c:pt idx="49">
                  <c:v>5.9298697539267087</c:v>
                </c:pt>
                <c:pt idx="50">
                  <c:v>14.852237210545249</c:v>
                </c:pt>
                <c:pt idx="51">
                  <c:v>8.6093347166655612</c:v>
                </c:pt>
                <c:pt idx="52">
                  <c:v>16.210908305791307</c:v>
                </c:pt>
                <c:pt idx="53">
                  <c:v>12.989575892586892</c:v>
                </c:pt>
                <c:pt idx="54">
                  <c:v>4.6990448900415815</c:v>
                </c:pt>
                <c:pt idx="55">
                  <c:v>9.4786177195535615</c:v>
                </c:pt>
                <c:pt idx="56">
                  <c:v>9.0722327224915809</c:v>
                </c:pt>
                <c:pt idx="57">
                  <c:v>1.8169794973686759</c:v>
                </c:pt>
                <c:pt idx="58">
                  <c:v>0.49434815008955191</c:v>
                </c:pt>
                <c:pt idx="59">
                  <c:v>3.846961972492724</c:v>
                </c:pt>
                <c:pt idx="60">
                  <c:v>-0.21701459975956849</c:v>
                </c:pt>
                <c:pt idx="61">
                  <c:v>2.8207086500529055</c:v>
                </c:pt>
                <c:pt idx="62">
                  <c:v>1.6125194098445705</c:v>
                </c:pt>
                <c:pt idx="63">
                  <c:v>3.2702880804146517</c:v>
                </c:pt>
                <c:pt idx="64">
                  <c:v>-2.5115185815607566</c:v>
                </c:pt>
                <c:pt idx="65">
                  <c:v>3.4742672324298063</c:v>
                </c:pt>
                <c:pt idx="66">
                  <c:v>0.41562730271602621</c:v>
                </c:pt>
                <c:pt idx="67">
                  <c:v>4.7655329489268983</c:v>
                </c:pt>
                <c:pt idx="68">
                  <c:v>8.8299670669369501</c:v>
                </c:pt>
                <c:pt idx="69">
                  <c:v>5.9794397145582323</c:v>
                </c:pt>
                <c:pt idx="70">
                  <c:v>6.2369917889993021</c:v>
                </c:pt>
                <c:pt idx="71">
                  <c:v>5.7230276930749113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2C-41A0-85D9-C551771D626A}"/>
            </c:ext>
          </c:extLst>
        </c:ser>
        <c:ser>
          <c:idx val="2"/>
          <c:order val="2"/>
          <c:tx>
            <c:strRef>
              <c:f>'2.Özel Tüketim'!$V$11</c:f>
              <c:strCache>
                <c:ptCount val="1"/>
                <c:pt idx="0">
                  <c:v>Hizmetler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'2.Özel Tüketim'!$A$32:$A$103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'2.Özel Tüketim'!$V$32:$V$103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4.2202106849755117</c:v>
                </c:pt>
                <c:pt idx="49">
                  <c:v>5.3413878595329978</c:v>
                </c:pt>
                <c:pt idx="50">
                  <c:v>8.9400646439584222</c:v>
                </c:pt>
                <c:pt idx="51">
                  <c:v>9.7021151667454841</c:v>
                </c:pt>
                <c:pt idx="52">
                  <c:v>11.771782230203698</c:v>
                </c:pt>
                <c:pt idx="53">
                  <c:v>12.870267333924645</c:v>
                </c:pt>
                <c:pt idx="54">
                  <c:v>8.8393246834527197</c:v>
                </c:pt>
                <c:pt idx="55">
                  <c:v>8.2575847682482717</c:v>
                </c:pt>
                <c:pt idx="56">
                  <c:v>1.7862706901759839</c:v>
                </c:pt>
                <c:pt idx="57">
                  <c:v>4.3118616487399342</c:v>
                </c:pt>
                <c:pt idx="58">
                  <c:v>4.7575143109143347</c:v>
                </c:pt>
                <c:pt idx="59">
                  <c:v>6.4296255917311251</c:v>
                </c:pt>
                <c:pt idx="60">
                  <c:v>12.074384433295403</c:v>
                </c:pt>
                <c:pt idx="61">
                  <c:v>11.814711968578774</c:v>
                </c:pt>
                <c:pt idx="62">
                  <c:v>12.046641346371123</c:v>
                </c:pt>
                <c:pt idx="63">
                  <c:v>7.3576925482083944</c:v>
                </c:pt>
                <c:pt idx="64">
                  <c:v>4.6169804632930855</c:v>
                </c:pt>
                <c:pt idx="65">
                  <c:v>2.4213991110704658</c:v>
                </c:pt>
                <c:pt idx="66">
                  <c:v>4.2514436841179615</c:v>
                </c:pt>
                <c:pt idx="67">
                  <c:v>5.7824060119788356</c:v>
                </c:pt>
                <c:pt idx="68">
                  <c:v>4.6536795458327562</c:v>
                </c:pt>
                <c:pt idx="69">
                  <c:v>2.7038569505220211</c:v>
                </c:pt>
                <c:pt idx="70">
                  <c:v>2.9651843247755272</c:v>
                </c:pt>
                <c:pt idx="71">
                  <c:v>3.9346569182293623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2C-41A0-85D9-C551771D6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537144192"/>
        <c:axId val="1537134944"/>
      </c:barChart>
      <c:catAx>
        <c:axId val="153714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134944"/>
        <c:crosses val="autoZero"/>
        <c:auto val="1"/>
        <c:lblAlgn val="ctr"/>
        <c:lblOffset val="100"/>
        <c:tickLblSkip val="8"/>
        <c:noMultiLvlLbl val="0"/>
      </c:catAx>
      <c:valAx>
        <c:axId val="1537134944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14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Reel Özel</a:t>
            </a:r>
            <a:r>
              <a:rPr lang="en-US" sz="1400" baseline="0"/>
              <a:t> Tüketim</a:t>
            </a:r>
            <a:r>
              <a:rPr lang="en-US" sz="1400"/>
              <a:t> </a:t>
            </a:r>
          </a:p>
          <a:p>
            <a:pPr>
              <a:defRPr sz="1400"/>
            </a:pPr>
            <a:r>
              <a:rPr lang="en-US" sz="1400" b="0" i="0"/>
              <a:t>(% GSYH)</a:t>
            </a:r>
          </a:p>
        </c:rich>
      </c:tx>
      <c:layout>
        <c:manualLayout>
          <c:xMode val="edge"/>
          <c:yMode val="edge"/>
          <c:x val="0.41591116841071596"/>
          <c:y val="4.8793703591395662E-3"/>
        </c:manualLayout>
      </c:layout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'2.Özel Tüketim'!$L$11</c:f>
              <c:strCache>
                <c:ptCount val="1"/>
                <c:pt idx="0">
                  <c:v>Dayanıklı Tüketim</c:v>
                </c:pt>
              </c:strCache>
            </c:strRef>
          </c:tx>
          <c:spPr>
            <a:solidFill>
              <a:srgbClr val="0090C1"/>
            </a:solidFill>
            <a:ln w="25400">
              <a:noFill/>
              <a:prstDash val="solid"/>
            </a:ln>
            <a:effectLst/>
          </c:spPr>
          <c:cat>
            <c:strRef>
              <c:f>'2.Özel Tüketim'!$A$32:$A$103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'2.Özel Tüketim'!$L$32:$L$103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3.6917930571295283</c:v>
                </c:pt>
                <c:pt idx="45">
                  <c:v>5.196541325526649</c:v>
                </c:pt>
                <c:pt idx="46">
                  <c:v>4.7833580257892159</c:v>
                </c:pt>
                <c:pt idx="47">
                  <c:v>4.8734971001712912</c:v>
                </c:pt>
                <c:pt idx="48">
                  <c:v>4.3215733050147218</c:v>
                </c:pt>
                <c:pt idx="49">
                  <c:v>5.0188399727638542</c:v>
                </c:pt>
                <c:pt idx="50">
                  <c:v>4.8876491748415427</c:v>
                </c:pt>
                <c:pt idx="51">
                  <c:v>6.1943572340590745</c:v>
                </c:pt>
                <c:pt idx="52">
                  <c:v>5.2953968461114673</c:v>
                </c:pt>
                <c:pt idx="53">
                  <c:v>5.9549083295272327</c:v>
                </c:pt>
                <c:pt idx="54">
                  <c:v>5.4067249535891007</c:v>
                </c:pt>
                <c:pt idx="55">
                  <c:v>5.9296675521646867</c:v>
                </c:pt>
                <c:pt idx="56">
                  <c:v>4.715428593467454</c:v>
                </c:pt>
                <c:pt idx="57">
                  <c:v>5.6586633908580657</c:v>
                </c:pt>
                <c:pt idx="58">
                  <c:v>5.2208161332062994</c:v>
                </c:pt>
                <c:pt idx="59">
                  <c:v>6.2171182493488004</c:v>
                </c:pt>
                <c:pt idx="60">
                  <c:v>5.4686373239040478</c:v>
                </c:pt>
                <c:pt idx="61">
                  <c:v>6.3850837752590497</c:v>
                </c:pt>
                <c:pt idx="62">
                  <c:v>6.3525647025171521</c:v>
                </c:pt>
                <c:pt idx="63">
                  <c:v>7.1831031330480233</c:v>
                </c:pt>
                <c:pt idx="64">
                  <c:v>5.5905930956007248</c:v>
                </c:pt>
                <c:pt idx="65">
                  <c:v>6.2819605081386705</c:v>
                </c:pt>
                <c:pt idx="66">
                  <c:v>6.1408658828861578</c:v>
                </c:pt>
                <c:pt idx="67">
                  <c:v>7.5988526821182942</c:v>
                </c:pt>
                <c:pt idx="68">
                  <c:v>6.0698597172841335</c:v>
                </c:pt>
                <c:pt idx="69">
                  <c:v>6.8428749797001629</c:v>
                </c:pt>
                <c:pt idx="70">
                  <c:v>6.5138458451737531</c:v>
                </c:pt>
                <c:pt idx="71">
                  <c:v>7.2410360014228816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7-44B4-96A2-E0DCB0C264E6}"/>
            </c:ext>
          </c:extLst>
        </c:ser>
        <c:ser>
          <c:idx val="1"/>
          <c:order val="1"/>
          <c:tx>
            <c:strRef>
              <c:f>'2.Özel Tüketim'!$N$11</c:f>
              <c:strCache>
                <c:ptCount val="1"/>
                <c:pt idx="0">
                  <c:v>Dayanıksız Tüketim</c:v>
                </c:pt>
              </c:strCache>
            </c:strRef>
          </c:tx>
          <c:spPr>
            <a:solidFill>
              <a:srgbClr val="98252B"/>
            </a:solidFill>
            <a:ln w="25400">
              <a:noFill/>
              <a:prstDash val="sysDash"/>
            </a:ln>
            <a:effectLst/>
          </c:spPr>
          <c:cat>
            <c:strRef>
              <c:f>'2.Özel Tüketim'!$A$32:$A$103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'2.Özel Tüketim'!$N$32:$N$103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18.00077963718196</c:v>
                </c:pt>
                <c:pt idx="45">
                  <c:v>20.45329196900412</c:v>
                </c:pt>
                <c:pt idx="46">
                  <c:v>25.197880752565325</c:v>
                </c:pt>
                <c:pt idx="47">
                  <c:v>20.689667741379324</c:v>
                </c:pt>
                <c:pt idx="48">
                  <c:v>17.34159184713117</c:v>
                </c:pt>
                <c:pt idx="49">
                  <c:v>20.053266506887386</c:v>
                </c:pt>
                <c:pt idx="50">
                  <c:v>26.688219517320899</c:v>
                </c:pt>
                <c:pt idx="51">
                  <c:v>20.506855731731768</c:v>
                </c:pt>
                <c:pt idx="52">
                  <c:v>17.932940948819994</c:v>
                </c:pt>
                <c:pt idx="53">
                  <c:v>20.36889257145809</c:v>
                </c:pt>
                <c:pt idx="54">
                  <c:v>25.146595208623161</c:v>
                </c:pt>
                <c:pt idx="55">
                  <c:v>20.536439860353234</c:v>
                </c:pt>
                <c:pt idx="56">
                  <c:v>18.45966153195803</c:v>
                </c:pt>
                <c:pt idx="57">
                  <c:v>19.768750606665218</c:v>
                </c:pt>
                <c:pt idx="58">
                  <c:v>24.30027749179958</c:v>
                </c:pt>
                <c:pt idx="59">
                  <c:v>20.457773841306235</c:v>
                </c:pt>
                <c:pt idx="60">
                  <c:v>17.013615914055656</c:v>
                </c:pt>
                <c:pt idx="61">
                  <c:v>18.554461532559678</c:v>
                </c:pt>
                <c:pt idx="62">
                  <c:v>22.606020221950164</c:v>
                </c:pt>
                <c:pt idx="63">
                  <c:v>19.613925174969111</c:v>
                </c:pt>
                <c:pt idx="64">
                  <c:v>15.402891555750884</c:v>
                </c:pt>
                <c:pt idx="65">
                  <c:v>18.655340945262644</c:v>
                </c:pt>
                <c:pt idx="66">
                  <c:v>21.84347225243674</c:v>
                </c:pt>
                <c:pt idx="67">
                  <c:v>19.548204781016</c:v>
                </c:pt>
                <c:pt idx="68">
                  <c:v>16.104967447075296</c:v>
                </c:pt>
                <c:pt idx="69">
                  <c:v>18.406125010401951</c:v>
                </c:pt>
                <c:pt idx="70">
                  <c:v>21.829169565505218</c:v>
                </c:pt>
                <c:pt idx="71">
                  <c:v>19.475617702282449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7-44B4-96A2-E0DCB0C264E6}"/>
            </c:ext>
          </c:extLst>
        </c:ser>
        <c:ser>
          <c:idx val="2"/>
          <c:order val="2"/>
          <c:tx>
            <c:strRef>
              <c:f>'2.Özel Tüketim'!$O$11</c:f>
              <c:strCache>
                <c:ptCount val="1"/>
                <c:pt idx="0">
                  <c:v>Hizmetler</c:v>
                </c:pt>
              </c:strCache>
            </c:strRef>
          </c:tx>
          <c:spPr>
            <a:solidFill>
              <a:srgbClr val="D3CCBD"/>
            </a:solidFill>
            <a:ln w="25400">
              <a:noFill/>
              <a:prstDash val="solid"/>
            </a:ln>
            <a:effectLst/>
          </c:spPr>
          <c:cat>
            <c:strRef>
              <c:f>'2.Özel Tüketim'!$A$32:$A$103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'2.Özel Tüketim'!$O$32:$O$103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28.133284769128409</c:v>
                </c:pt>
                <c:pt idx="45">
                  <c:v>28.354977169723263</c:v>
                </c:pt>
                <c:pt idx="46">
                  <c:v>28.55515355235914</c:v>
                </c:pt>
                <c:pt idx="47">
                  <c:v>28.610621601270015</c:v>
                </c:pt>
                <c:pt idx="48">
                  <c:v>27.084050682194555</c:v>
                </c:pt>
                <c:pt idx="49">
                  <c:v>27.645968393480892</c:v>
                </c:pt>
                <c:pt idx="50">
                  <c:v>28.687206135222489</c:v>
                </c:pt>
                <c:pt idx="51">
                  <c:v>28.643144974168976</c:v>
                </c:pt>
                <c:pt idx="52">
                  <c:v>26.937758560316986</c:v>
                </c:pt>
                <c:pt idx="53">
                  <c:v>28.051447365122545</c:v>
                </c:pt>
                <c:pt idx="54">
                  <c:v>28.099006346898193</c:v>
                </c:pt>
                <c:pt idx="55">
                  <c:v>28.364544329568108</c:v>
                </c:pt>
                <c:pt idx="56">
                  <c:v>25.876686887485175</c:v>
                </c:pt>
                <c:pt idx="57">
                  <c:v>27.892058442039612</c:v>
                </c:pt>
                <c:pt idx="58">
                  <c:v>28.30522111639031</c:v>
                </c:pt>
                <c:pt idx="59">
                  <c:v>28.958613536463705</c:v>
                </c:pt>
                <c:pt idx="60">
                  <c:v>26.787453498219016</c:v>
                </c:pt>
                <c:pt idx="61">
                  <c:v>28.468727527312737</c:v>
                </c:pt>
                <c:pt idx="62">
                  <c:v>29.035616659823006</c:v>
                </c:pt>
                <c:pt idx="63">
                  <c:v>28.863014407338422</c:v>
                </c:pt>
                <c:pt idx="64">
                  <c:v>26.024712418992245</c:v>
                </c:pt>
                <c:pt idx="65">
                  <c:v>28.3322611222262</c:v>
                </c:pt>
                <c:pt idx="66">
                  <c:v>29.127914403874865</c:v>
                </c:pt>
                <c:pt idx="67">
                  <c:v>29.045513982940683</c:v>
                </c:pt>
                <c:pt idx="68">
                  <c:v>26.166735070130397</c:v>
                </c:pt>
                <c:pt idx="69">
                  <c:v>27.089784283932978</c:v>
                </c:pt>
                <c:pt idx="70">
                  <c:v>28.212369645784204</c:v>
                </c:pt>
                <c:pt idx="71">
                  <c:v>28.448162624742697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47-44B4-96A2-E0DCB0C26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7144736"/>
        <c:axId val="1537136576"/>
      </c:areaChart>
      <c:catAx>
        <c:axId val="1537144736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crossAx val="1537136576"/>
        <c:crosses val="autoZero"/>
        <c:auto val="1"/>
        <c:lblAlgn val="ctr"/>
        <c:lblOffset val="100"/>
        <c:tickLblSkip val="8"/>
        <c:noMultiLvlLbl val="0"/>
      </c:catAx>
      <c:valAx>
        <c:axId val="1537136576"/>
        <c:scaling>
          <c:orientation val="minMax"/>
        </c:scaling>
        <c:delete val="0"/>
        <c:axPos val="l"/>
        <c:numFmt formatCode="0.0" sourceLinked="1"/>
        <c:majorTickMark val="in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crossAx val="1537144736"/>
        <c:crosses val="autoZero"/>
        <c:crossBetween val="midCat"/>
      </c:valAx>
      <c:spPr>
        <a:solidFill>
          <a:srgbClr val="FFFFFF"/>
        </a:solidFill>
        <a:ln w="3175"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314898641205276"/>
          <c:y val="0.12111700775310348"/>
          <c:w val="0.77688745259200065"/>
          <c:h val="5.211752471399491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 w="9525">
      <a:noFill/>
    </a:ln>
  </c:spPr>
  <c:txPr>
    <a:bodyPr/>
    <a:lstStyle/>
    <a:p>
      <a:pPr>
        <a:defRPr>
          <a:solidFill>
            <a:schemeClr val="tx1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GSYH Büyüme Oranı ve Tüketim Bileşenlerinin Büyümeye Katkısı</a:t>
            </a:r>
          </a:p>
        </c:rich>
      </c:tx>
      <c:layout>
        <c:manualLayout>
          <c:xMode val="edge"/>
          <c:yMode val="edge"/>
          <c:x val="0.33570441972106935"/>
          <c:y val="2.50787908433900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861305574882436E-2"/>
          <c:y val="0.16081649433451384"/>
          <c:w val="0.88804012828694634"/>
          <c:h val="0.7613346987942351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'2.Özel Tüketim'!$AA$11</c:f>
              <c:strCache>
                <c:ptCount val="1"/>
                <c:pt idx="0">
                  <c:v>Dayanıklı Tüketim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'2.Özel Tüketim'!$A$32:$A$103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'2.Özel Tüketim'!$AA$32:$AA$103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3.2142999234504277</c:v>
                </c:pt>
                <c:pt idx="45">
                  <c:v>4.8788498699908054</c:v>
                </c:pt>
                <c:pt idx="46">
                  <c:v>4.6836136418279084</c:v>
                </c:pt>
                <c:pt idx="47">
                  <c:v>4.9918311994488835</c:v>
                </c:pt>
                <c:pt idx="48">
                  <c:v>0.98664253920625422</c:v>
                </c:pt>
                <c:pt idx="49">
                  <c:v>0.22596264759742776</c:v>
                </c:pt>
                <c:pt idx="50">
                  <c:v>0.51673997616133704</c:v>
                </c:pt>
                <c:pt idx="51">
                  <c:v>1.9141279148158576</c:v>
                </c:pt>
                <c:pt idx="52">
                  <c:v>1.6293294045639821</c:v>
                </c:pt>
                <c:pt idx="53">
                  <c:v>1.6053254100741865</c:v>
                </c:pt>
                <c:pt idx="54">
                  <c:v>1.120177671214702</c:v>
                </c:pt>
                <c:pt idx="55">
                  <c:v>0.2880090790921298</c:v>
                </c:pt>
                <c:pt idx="56">
                  <c:v>-0.29892826746765555</c:v>
                </c:pt>
                <c:pt idx="57">
                  <c:v>-1.8520519756317182E-2</c:v>
                </c:pt>
                <c:pt idx="58">
                  <c:v>2.2626982049140428E-2</c:v>
                </c:pt>
                <c:pt idx="59">
                  <c:v>0.55144715625403973</c:v>
                </c:pt>
                <c:pt idx="60">
                  <c:v>1.2051305668975714</c:v>
                </c:pt>
                <c:pt idx="61">
                  <c:v>1.3361810379799726</c:v>
                </c:pt>
                <c:pt idx="62">
                  <c:v>1.7179689769120425</c:v>
                </c:pt>
                <c:pt idx="63">
                  <c:v>1.5200376817305263</c:v>
                </c:pt>
                <c:pt idx="64">
                  <c:v>0.55148832560083083</c:v>
                </c:pt>
                <c:pt idx="65">
                  <c:v>7.9978699950557813E-2</c:v>
                </c:pt>
                <c:pt idx="66">
                  <c:v>2.9090776836858141E-2</c:v>
                </c:pt>
                <c:pt idx="67">
                  <c:v>0.80463991406049729</c:v>
                </c:pt>
                <c:pt idx="68">
                  <c:v>0.72726050776506723</c:v>
                </c:pt>
                <c:pt idx="69">
                  <c:v>1.0682715038200075</c:v>
                </c:pt>
                <c:pt idx="70">
                  <c:v>0.78378211957834276</c:v>
                </c:pt>
                <c:pt idx="71">
                  <c:v>8.5122219693649595E-2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E-4429-B08E-D4265753C185}"/>
            </c:ext>
          </c:extLst>
        </c:ser>
        <c:ser>
          <c:idx val="2"/>
          <c:order val="2"/>
          <c:tx>
            <c:strRef>
              <c:f>'2.Özel Tüketim'!$U$11</c:f>
              <c:strCache>
                <c:ptCount val="1"/>
                <c:pt idx="0">
                  <c:v>Dayanıksız Tüketim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50000"/>
                    <a:satMod val="300000"/>
                  </a:schemeClr>
                </a:gs>
                <a:gs pos="35000">
                  <a:schemeClr val="accent3">
                    <a:tint val="37000"/>
                    <a:satMod val="300000"/>
                  </a:schemeClr>
                </a:gs>
                <a:gs pos="100000">
                  <a:schemeClr val="accent3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'2.Özel Tüketim'!$A$32:$A$103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'2.Özel Tüketim'!$U$32:$U$103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4.2933016353475795</c:v>
                </c:pt>
                <c:pt idx="49">
                  <c:v>5.9298697539267087</c:v>
                </c:pt>
                <c:pt idx="50">
                  <c:v>14.852237210545249</c:v>
                </c:pt>
                <c:pt idx="51">
                  <c:v>8.6093347166655612</c:v>
                </c:pt>
                <c:pt idx="52">
                  <c:v>16.210908305791307</c:v>
                </c:pt>
                <c:pt idx="53">
                  <c:v>12.989575892586892</c:v>
                </c:pt>
                <c:pt idx="54">
                  <c:v>4.6990448900415815</c:v>
                </c:pt>
                <c:pt idx="55">
                  <c:v>9.4786177195535615</c:v>
                </c:pt>
                <c:pt idx="56">
                  <c:v>9.0722327224915809</c:v>
                </c:pt>
                <c:pt idx="57">
                  <c:v>1.8169794973686759</c:v>
                </c:pt>
                <c:pt idx="58">
                  <c:v>0.49434815008955191</c:v>
                </c:pt>
                <c:pt idx="59">
                  <c:v>3.846961972492724</c:v>
                </c:pt>
                <c:pt idx="60">
                  <c:v>-0.21701459975956849</c:v>
                </c:pt>
                <c:pt idx="61">
                  <c:v>2.8207086500529055</c:v>
                </c:pt>
                <c:pt idx="62">
                  <c:v>1.6125194098445705</c:v>
                </c:pt>
                <c:pt idx="63">
                  <c:v>3.2702880804146517</c:v>
                </c:pt>
                <c:pt idx="64">
                  <c:v>-2.5115185815607566</c:v>
                </c:pt>
                <c:pt idx="65">
                  <c:v>3.4742672324298063</c:v>
                </c:pt>
                <c:pt idx="66">
                  <c:v>0.41562730271602621</c:v>
                </c:pt>
                <c:pt idx="67">
                  <c:v>4.7655329489268983</c:v>
                </c:pt>
                <c:pt idx="68">
                  <c:v>8.8299670669369501</c:v>
                </c:pt>
                <c:pt idx="69">
                  <c:v>5.9794397145582323</c:v>
                </c:pt>
                <c:pt idx="70">
                  <c:v>6.2369917889993021</c:v>
                </c:pt>
                <c:pt idx="71">
                  <c:v>5.7230276930749113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DE-4429-B08E-D4265753C185}"/>
            </c:ext>
          </c:extLst>
        </c:ser>
        <c:ser>
          <c:idx val="3"/>
          <c:order val="3"/>
          <c:tx>
            <c:strRef>
              <c:f>'2.Özel Tüketim'!$AD$11</c:f>
              <c:strCache>
                <c:ptCount val="1"/>
                <c:pt idx="0">
                  <c:v>Hizmetler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50000"/>
                    <a:satMod val="300000"/>
                  </a:schemeClr>
                </a:gs>
                <a:gs pos="35000">
                  <a:schemeClr val="accent4">
                    <a:tint val="37000"/>
                    <a:satMod val="300000"/>
                  </a:schemeClr>
                </a:gs>
                <a:gs pos="100000">
                  <a:schemeClr val="accent4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'2.Özel Tüketim'!$A$32:$A$103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'2.Özel Tüketim'!$AD$32:$AD$103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24.494551476872179</c:v>
                </c:pt>
                <c:pt idx="45">
                  <c:v>26.621490720864493</c:v>
                </c:pt>
                <c:pt idx="46">
                  <c:v>27.959710730675173</c:v>
                </c:pt>
                <c:pt idx="47">
                  <c:v>29.305320308865284</c:v>
                </c:pt>
                <c:pt idx="48">
                  <c:v>1.1872838898613471</c:v>
                </c:pt>
                <c:pt idx="49">
                  <c:v>1.5145493081169537</c:v>
                </c:pt>
                <c:pt idx="50">
                  <c:v>2.5528491867624967</c:v>
                </c:pt>
                <c:pt idx="51">
                  <c:v>2.7758354576769784</c:v>
                </c:pt>
                <c:pt idx="52">
                  <c:v>3.1882754654259409</c:v>
                </c:pt>
                <c:pt idx="53">
                  <c:v>3.5581100392933052</c:v>
                </c:pt>
                <c:pt idx="54">
                  <c:v>2.5357552929036831</c:v>
                </c:pt>
                <c:pt idx="55">
                  <c:v>2.3652319765342504</c:v>
                </c:pt>
                <c:pt idx="56">
                  <c:v>0.48118128575331526</c:v>
                </c:pt>
                <c:pt idx="57">
                  <c:v>1.2095396008531865</c:v>
                </c:pt>
                <c:pt idx="58">
                  <c:v>1.3368142481784104</c:v>
                </c:pt>
                <c:pt idx="59">
                  <c:v>1.8237340011918326</c:v>
                </c:pt>
                <c:pt idx="60">
                  <c:v>3.1244506533951006</c:v>
                </c:pt>
                <c:pt idx="61">
                  <c:v>3.2953663670346427</c:v>
                </c:pt>
                <c:pt idx="62">
                  <c:v>3.4098284701888422</c:v>
                </c:pt>
                <c:pt idx="63">
                  <c:v>2.1306857502368581</c:v>
                </c:pt>
                <c:pt idx="64">
                  <c:v>1.2367714946264932</c:v>
                </c:pt>
                <c:pt idx="65">
                  <c:v>0.68934151527942178</c:v>
                </c:pt>
                <c:pt idx="66">
                  <c:v>1.2344328906287467</c:v>
                </c:pt>
                <c:pt idx="67">
                  <c:v>1.6689766803282566</c:v>
                </c:pt>
                <c:pt idx="68">
                  <c:v>1.2111067187044413</c:v>
                </c:pt>
                <c:pt idx="69">
                  <c:v>0.76606381159336201</c:v>
                </c:pt>
                <c:pt idx="70">
                  <c:v>0.86369635203772943</c:v>
                </c:pt>
                <c:pt idx="71">
                  <c:v>1.1428413253650551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F-41EC-80B6-113078760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7139296"/>
        <c:axId val="1537140928"/>
      </c:barChart>
      <c:lineChart>
        <c:grouping val="standard"/>
        <c:varyColors val="0"/>
        <c:ser>
          <c:idx val="0"/>
          <c:order val="0"/>
          <c:tx>
            <c:strRef>
              <c:f>'2.Özel Tüketim'!$Y$11</c:f>
              <c:strCache>
                <c:ptCount val="1"/>
                <c:pt idx="0">
                  <c:v>Real GSYH Büyüme Oranı 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strRef>
              <c:f>'2.Özel Tüketim'!$A$32:$A$103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'2.Özel Tüketim'!$Y$32:$Y$103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-4.0900212715359929</c:v>
                </c:pt>
                <c:pt idx="5">
                  <c:v>-3.8649236638645945</c:v>
                </c:pt>
                <c:pt idx="6">
                  <c:v>-4.1374980188528143</c:v>
                </c:pt>
                <c:pt idx="7">
                  <c:v>-1.0176265108048477</c:v>
                </c:pt>
                <c:pt idx="8">
                  <c:v>2.2652062846522991</c:v>
                </c:pt>
                <c:pt idx="9">
                  <c:v>6.8490946032021549</c:v>
                </c:pt>
                <c:pt idx="10">
                  <c:v>10.300768388414028</c:v>
                </c:pt>
                <c:pt idx="11">
                  <c:v>8.6398569471149536</c:v>
                </c:pt>
                <c:pt idx="12">
                  <c:v>1.4738609663991209</c:v>
                </c:pt>
                <c:pt idx="13">
                  <c:v>-7.0600679119170788</c:v>
                </c:pt>
                <c:pt idx="14">
                  <c:v>-7.2775891504939576</c:v>
                </c:pt>
                <c:pt idx="15">
                  <c:v>-10.129126141417299</c:v>
                </c:pt>
                <c:pt idx="16">
                  <c:v>-1.6959707845455974</c:v>
                </c:pt>
                <c:pt idx="17">
                  <c:v>7.7675409225001601</c:v>
                </c:pt>
                <c:pt idx="18">
                  <c:v>7.8896032059398546</c:v>
                </c:pt>
                <c:pt idx="19">
                  <c:v>12.077725723277544</c:v>
                </c:pt>
                <c:pt idx="20">
                  <c:v>8.0882987801923498</c:v>
                </c:pt>
                <c:pt idx="21">
                  <c:v>3.9642978739055312</c:v>
                </c:pt>
                <c:pt idx="22">
                  <c:v>5.4870934300905505</c:v>
                </c:pt>
                <c:pt idx="23">
                  <c:v>6.4056730610471124</c:v>
                </c:pt>
                <c:pt idx="24">
                  <c:v>9.2450567905835612</c:v>
                </c:pt>
                <c:pt idx="25">
                  <c:v>11.413895432663402</c:v>
                </c:pt>
                <c:pt idx="26">
                  <c:v>9.5469283297411991</c:v>
                </c:pt>
                <c:pt idx="27">
                  <c:v>8.0577116986388919</c:v>
                </c:pt>
                <c:pt idx="28">
                  <c:v>10.009156431224241</c:v>
                </c:pt>
                <c:pt idx="29">
                  <c:v>7.9599382939499419</c:v>
                </c:pt>
                <c:pt idx="30">
                  <c:v>8.2633823832674924</c:v>
                </c:pt>
                <c:pt idx="31">
                  <c:v>10.057769952722762</c:v>
                </c:pt>
                <c:pt idx="32">
                  <c:v>6.4125127454570219</c:v>
                </c:pt>
                <c:pt idx="33">
                  <c:v>9.1929992257776085</c:v>
                </c:pt>
                <c:pt idx="34">
                  <c:v>6.8613929878371005</c:v>
                </c:pt>
                <c:pt idx="35">
                  <c:v>5.7772390384344341</c:v>
                </c:pt>
                <c:pt idx="36">
                  <c:v>6.4862339650101353</c:v>
                </c:pt>
                <c:pt idx="37">
                  <c:v>3.3699744534669396</c:v>
                </c:pt>
                <c:pt idx="38">
                  <c:v>4.7655240699740142</c:v>
                </c:pt>
                <c:pt idx="39">
                  <c:v>5.9681872482643561</c:v>
                </c:pt>
                <c:pt idx="40">
                  <c:v>6.2631362834100868</c:v>
                </c:pt>
                <c:pt idx="41">
                  <c:v>2.460997110468166</c:v>
                </c:pt>
                <c:pt idx="42">
                  <c:v>1.2943604726012303E-2</c:v>
                </c:pt>
                <c:pt idx="43">
                  <c:v>-5.7622218481223619</c:v>
                </c:pt>
                <c:pt idx="44">
                  <c:v>-12.933908436632812</c:v>
                </c:pt>
                <c:pt idx="45">
                  <c:v>-6.1135173499971547</c:v>
                </c:pt>
                <c:pt idx="46">
                  <c:v>-2.0852376807995676</c:v>
                </c:pt>
                <c:pt idx="47">
                  <c:v>2.4281146955731803</c:v>
                </c:pt>
                <c:pt idx="48">
                  <c:v>8.2576938104222499</c:v>
                </c:pt>
                <c:pt idx="49">
                  <c:v>8.0429741245152222</c:v>
                </c:pt>
                <c:pt idx="50">
                  <c:v>8.4385931222729749</c:v>
                </c:pt>
                <c:pt idx="51">
                  <c:v>9.5775519317169646</c:v>
                </c:pt>
                <c:pt idx="52">
                  <c:v>12.378786378372929</c:v>
                </c:pt>
                <c:pt idx="53">
                  <c:v>11.238746531030831</c:v>
                </c:pt>
                <c:pt idx="54">
                  <c:v>11.117671004664654</c:v>
                </c:pt>
                <c:pt idx="55">
                  <c:v>9.3209063766947597</c:v>
                </c:pt>
                <c:pt idx="56">
                  <c:v>5.9600093523990205</c:v>
                </c:pt>
                <c:pt idx="57">
                  <c:v>4.9079508663040672</c:v>
                </c:pt>
                <c:pt idx="58">
                  <c:v>3.9943142434298418</c:v>
                </c:pt>
                <c:pt idx="59">
                  <c:v>4.246283382137328</c:v>
                </c:pt>
                <c:pt idx="60">
                  <c:v>8.2638838469973876</c:v>
                </c:pt>
                <c:pt idx="61">
                  <c:v>9.5497674743390437</c:v>
                </c:pt>
                <c:pt idx="62">
                  <c:v>9.2280903076658927</c:v>
                </c:pt>
                <c:pt idx="63">
                  <c:v>7.7132791743197648</c:v>
                </c:pt>
                <c:pt idx="64">
                  <c:v>7.6831303326682088</c:v>
                </c:pt>
                <c:pt idx="65">
                  <c:v>2.9147264907781301</c:v>
                </c:pt>
                <c:pt idx="66">
                  <c:v>3.9211016990112757</c:v>
                </c:pt>
                <c:pt idx="67">
                  <c:v>5.1177510771510004</c:v>
                </c:pt>
                <c:pt idx="68">
                  <c:v>4.0856609152842172</c:v>
                </c:pt>
                <c:pt idx="69">
                  <c:v>7.4143840675684247</c:v>
                </c:pt>
                <c:pt idx="70">
                  <c:v>6.3065993125262398</c:v>
                </c:pt>
                <c:pt idx="71">
                  <c:v>6.1170652970379269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DE-4429-B08E-D4265753C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7139296"/>
        <c:axId val="1537140928"/>
      </c:lineChart>
      <c:catAx>
        <c:axId val="15371392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140928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153714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13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Kamu ve Özel Tüketim </a:t>
            </a:r>
          </a:p>
          <a:p>
            <a:pPr>
              <a:defRPr/>
            </a:pPr>
            <a:r>
              <a:rPr lang="en-US" sz="1400" b="0"/>
              <a:t>(%</a:t>
            </a:r>
            <a:r>
              <a:rPr lang="en-US" sz="1400" b="0" baseline="0"/>
              <a:t> GSYH</a:t>
            </a:r>
            <a:r>
              <a:rPr lang="en-US" sz="1400" b="0"/>
              <a:t>)</a:t>
            </a:r>
          </a:p>
        </c:rich>
      </c:tx>
      <c:layout>
        <c:manualLayout>
          <c:xMode val="edge"/>
          <c:yMode val="edge"/>
          <c:x val="0.33775639913062994"/>
          <c:y val="9.9301328933322306E-3"/>
        </c:manualLayout>
      </c:layout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Kamu Tüketimi</c:v>
          </c:tx>
          <c:spPr>
            <a:solidFill>
              <a:srgbClr val="49A078"/>
            </a:solidFill>
            <a:ln w="25400">
              <a:noFill/>
              <a:prstDash val="solid"/>
            </a:ln>
            <a:effectLst/>
          </c:spPr>
          <c:cat>
            <c:strRef>
              <c:f>'1a. Reel GSYH Payı'!$A$32:$A$103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'1a. Reel GSYH Payı'!$I$32:$I$103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89.19699544421529</c:v>
                </c:pt>
                <c:pt idx="45">
                  <c:v>102.1171037915809</c:v>
                </c:pt>
                <c:pt idx="46">
                  <c:v>103.09519479864487</c:v>
                </c:pt>
                <c:pt idx="47">
                  <c:v>107.57518842697911</c:v>
                </c:pt>
                <c:pt idx="48">
                  <c:v>122.49929350389839</c:v>
                </c:pt>
                <c:pt idx="49">
                  <c:v>126.04798107793178</c:v>
                </c:pt>
                <c:pt idx="50">
                  <c:v>151.36875005323409</c:v>
                </c:pt>
                <c:pt idx="51">
                  <c:v>171.07035404089046</c:v>
                </c:pt>
                <c:pt idx="52">
                  <c:v>224.729484728969</c:v>
                </c:pt>
                <c:pt idx="53">
                  <c:v>243.52716832712949</c:v>
                </c:pt>
                <c:pt idx="54">
                  <c:v>225.67216286601354</c:v>
                </c:pt>
                <c:pt idx="55">
                  <c:v>184.45689835207921</c:v>
                </c:pt>
                <c:pt idx="56">
                  <c:v>175.48172577823709</c:v>
                </c:pt>
                <c:pt idx="57">
                  <c:v>140.77032190378787</c:v>
                </c:pt>
                <c:pt idx="58">
                  <c:v>135.80147356526049</c:v>
                </c:pt>
                <c:pt idx="59">
                  <c:v>124.49524128915451</c:v>
                </c:pt>
                <c:pt idx="60">
                  <c:v>154.1084209151835</c:v>
                </c:pt>
                <c:pt idx="61">
                  <c:v>151.22217862306204</c:v>
                </c:pt>
                <c:pt idx="62">
                  <c:v>156.24364466180913</c:v>
                </c:pt>
                <c:pt idx="63">
                  <c:v>156.09584140255376</c:v>
                </c:pt>
                <c:pt idx="64">
                  <c:v>127.74745277997582</c:v>
                </c:pt>
                <c:pt idx="65">
                  <c:v>127.95282566544894</c:v>
                </c:pt>
                <c:pt idx="66">
                  <c:v>126.52573427620246</c:v>
                </c:pt>
                <c:pt idx="67">
                  <c:v>144.95027758896578</c:v>
                </c:pt>
                <c:pt idx="68">
                  <c:v>119.77448206544447</c:v>
                </c:pt>
                <c:pt idx="69">
                  <c:v>119.05424577084354</c:v>
                </c:pt>
                <c:pt idx="70">
                  <c:v>112.94993095423813</c:v>
                </c:pt>
                <c:pt idx="71">
                  <c:v>117.67141678375989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7-4FA8-A080-2B6153DB282E}"/>
            </c:ext>
          </c:extLst>
        </c:ser>
        <c:ser>
          <c:idx val="1"/>
          <c:order val="1"/>
          <c:tx>
            <c:v>Özel Tüketim</c:v>
          </c:tx>
          <c:spPr>
            <a:solidFill>
              <a:srgbClr val="0090C1"/>
            </a:solidFill>
            <a:ln w="25400">
              <a:noFill/>
              <a:prstDash val="sysDash"/>
            </a:ln>
            <a:effectLst/>
          </c:spPr>
          <c:cat>
            <c:strRef>
              <c:f>'1a. Reel GSYH Payı'!$A$32:$A$103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'1a. Reel GSYH Payı'!$B$32:$B$103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133815.60031201859</c:v>
                </c:pt>
                <c:pt idx="45">
                  <c:v>158937.40038478962</c:v>
                </c:pt>
                <c:pt idx="46">
                  <c:v>176619.30042614613</c:v>
                </c:pt>
                <c:pt idx="47">
                  <c:v>168863.7004041266</c:v>
                </c:pt>
                <c:pt idx="48">
                  <c:v>152261.30043731615</c:v>
                </c:pt>
                <c:pt idx="49">
                  <c:v>171770.50049334488</c:v>
                </c:pt>
                <c:pt idx="50">
                  <c:v>198720.90066600495</c:v>
                </c:pt>
                <c:pt idx="51">
                  <c:v>188966.90070371114</c:v>
                </c:pt>
                <c:pt idx="52">
                  <c:v>179730.60087760477</c:v>
                </c:pt>
                <c:pt idx="53">
                  <c:v>197761.70104825057</c:v>
                </c:pt>
                <c:pt idx="54">
                  <c:v>218127.40110073332</c:v>
                </c:pt>
                <c:pt idx="55">
                  <c:v>206757.20081169534</c:v>
                </c:pt>
                <c:pt idx="56">
                  <c:v>186509.3007042087</c:v>
                </c:pt>
                <c:pt idx="57">
                  <c:v>202525.40056956786</c:v>
                </c:pt>
                <c:pt idx="58">
                  <c:v>222777.90059948876</c:v>
                </c:pt>
                <c:pt idx="59">
                  <c:v>217265.20052823483</c:v>
                </c:pt>
                <c:pt idx="60">
                  <c:v>199945.90057887058</c:v>
                </c:pt>
                <c:pt idx="61">
                  <c:v>220802.40062311324</c:v>
                </c:pt>
                <c:pt idx="62">
                  <c:v>242758.00068981311</c:v>
                </c:pt>
                <c:pt idx="63">
                  <c:v>233991.40066910814</c:v>
                </c:pt>
                <c:pt idx="64">
                  <c:v>205221.70044915381</c:v>
                </c:pt>
                <c:pt idx="65">
                  <c:v>227535.40053119385</c:v>
                </c:pt>
                <c:pt idx="66">
                  <c:v>248888.80055840852</c:v>
                </c:pt>
                <c:pt idx="67">
                  <c:v>245917.80062039683</c:v>
                </c:pt>
                <c:pt idx="68">
                  <c:v>219927.40048145197</c:v>
                </c:pt>
                <c:pt idx="69">
                  <c:v>237866.50048481193</c:v>
                </c:pt>
                <c:pt idx="70">
                  <c:v>258152.0004872607</c:v>
                </c:pt>
                <c:pt idx="71">
                  <c:v>258571.80047240984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87-4FA8-A080-2B6153DB2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419424"/>
        <c:axId val="1538417248"/>
      </c:areaChart>
      <c:catAx>
        <c:axId val="1538419424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crossAx val="1538417248"/>
        <c:crosses val="autoZero"/>
        <c:auto val="1"/>
        <c:lblAlgn val="ctr"/>
        <c:lblOffset val="100"/>
        <c:tickLblSkip val="8"/>
        <c:noMultiLvlLbl val="0"/>
      </c:catAx>
      <c:valAx>
        <c:axId val="1538417248"/>
        <c:scaling>
          <c:orientation val="minMax"/>
        </c:scaling>
        <c:delete val="0"/>
        <c:axPos val="l"/>
        <c:numFmt formatCode="0" sourceLinked="0"/>
        <c:majorTickMark val="in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crossAx val="1538419424"/>
        <c:crosses val="autoZero"/>
        <c:crossBetween val="midCat"/>
      </c:valAx>
      <c:spPr>
        <a:solidFill>
          <a:srgbClr val="FFFFFF"/>
        </a:solidFill>
        <a:ln w="3175"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5726501302535"/>
          <c:y val="0.12324011164973378"/>
          <c:w val="0.80191837490003748"/>
          <c:h val="7.0396148461047525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zero"/>
    <c:showDLblsOverMax val="0"/>
  </c:chart>
  <c:spPr>
    <a:ln w="25400">
      <a:noFill/>
    </a:ln>
  </c:spPr>
  <c:txPr>
    <a:bodyPr/>
    <a:lstStyle/>
    <a:p>
      <a:pPr>
        <a:defRPr>
          <a:solidFill>
            <a:schemeClr val="tx1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sz="1400"/>
            </a:pPr>
            <a:r>
              <a:rPr lang="en-US" sz="1400"/>
              <a:t>Kamu ve Özel Yatırımlar </a:t>
            </a:r>
          </a:p>
          <a:p>
            <a:pPr algn="ctr">
              <a:defRPr sz="1400"/>
            </a:pPr>
            <a:r>
              <a:rPr lang="en-US" sz="1400" b="0"/>
              <a:t>(% GSYH)</a:t>
            </a:r>
          </a:p>
        </c:rich>
      </c:tx>
      <c:layout>
        <c:manualLayout>
          <c:xMode val="edge"/>
          <c:yMode val="edge"/>
          <c:x val="0.3642774602366689"/>
          <c:y val="2.076919045883825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5486244802830374E-2"/>
          <c:y val="0.12899356731736722"/>
          <c:w val="0.90902751039433927"/>
          <c:h val="0.73998895682011456"/>
        </c:manualLayout>
      </c:layout>
      <c:areaChart>
        <c:grouping val="stacked"/>
        <c:varyColors val="0"/>
        <c:ser>
          <c:idx val="0"/>
          <c:order val="0"/>
          <c:tx>
            <c:v>Kamu GFCF</c:v>
          </c:tx>
          <c:spPr>
            <a:solidFill>
              <a:srgbClr val="49A078"/>
            </a:solidFill>
            <a:ln w="25400">
              <a:noFill/>
              <a:prstDash val="solid"/>
            </a:ln>
            <a:effectLst/>
          </c:spPr>
          <c:cat>
            <c:strRef>
              <c:f>'1a. Reel GSYH Payı'!$A$32:$A$103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'1a. Reel GSYH Payı'!$L$32:$L$103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7-4FA8-A080-2B6153DB282E}"/>
            </c:ext>
          </c:extLst>
        </c:ser>
        <c:ser>
          <c:idx val="1"/>
          <c:order val="1"/>
          <c:tx>
            <c:v>Özel GFCF</c:v>
          </c:tx>
          <c:spPr>
            <a:solidFill>
              <a:srgbClr val="0090C1"/>
            </a:solidFill>
            <a:ln>
              <a:noFill/>
            </a:ln>
            <a:effectLst/>
          </c:spPr>
          <c:cat>
            <c:strRef>
              <c:f>'1a. Reel GSYH Payı'!$A$32:$A$103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'1a. Reel GSYH Payı'!$O$32:$O$103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87-4FA8-A080-2B6153DB2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420512"/>
        <c:axId val="1538412352"/>
      </c:areaChart>
      <c:catAx>
        <c:axId val="1538420512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crossAx val="1538412352"/>
        <c:crosses val="autoZero"/>
        <c:auto val="1"/>
        <c:lblAlgn val="ctr"/>
        <c:lblOffset val="100"/>
        <c:tickLblSkip val="8"/>
        <c:tickMarkSkip val="8"/>
        <c:noMultiLvlLbl val="0"/>
      </c:catAx>
      <c:valAx>
        <c:axId val="1538412352"/>
        <c:scaling>
          <c:orientation val="minMax"/>
        </c:scaling>
        <c:delete val="0"/>
        <c:axPos val="l"/>
        <c:numFmt formatCode="0" sourceLinked="0"/>
        <c:majorTickMark val="in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crossAx val="1538420512"/>
        <c:crosses val="autoZero"/>
        <c:crossBetween val="midCat"/>
      </c:valAx>
      <c:spPr>
        <a:solidFill>
          <a:srgbClr val="FFFFFF"/>
        </a:solidFill>
        <a:ln w="3175"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31468087373368053"/>
          <c:y val="0.12617591757231331"/>
          <c:w val="0.38109315731773952"/>
          <c:h val="4.384555168048345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zero"/>
    <c:showDLblsOverMax val="0"/>
  </c:chart>
  <c:spPr>
    <a:ln w="9525">
      <a:noFill/>
    </a:ln>
  </c:spPr>
  <c:txPr>
    <a:bodyPr/>
    <a:lstStyle/>
    <a:p>
      <a:pPr>
        <a:defRPr>
          <a:solidFill>
            <a:schemeClr val="tx1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GSYH Büyüme Oranı ve Kamu ve Özel Yatırımların Büyümeye Katkısı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9405453056068568E-2"/>
          <c:y val="0.19661662707564243"/>
          <c:w val="0.9175588178589591"/>
          <c:h val="0.74664861739291899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'1c. Büyümeye Katkı'!$V$12</c:f>
              <c:strCache>
                <c:ptCount val="1"/>
                <c:pt idx="0">
                  <c:v>Kamu Yatırımının (Ig) Büyümeye Katkısı</c:v>
                </c:pt>
              </c:strCache>
            </c:strRef>
          </c:tx>
          <c:spPr>
            <a:solidFill>
              <a:srgbClr val="98252B"/>
            </a:solidFill>
            <a:ln w="0">
              <a:noFill/>
              <a:prstDash val="solid"/>
            </a:ln>
            <a:effectLst/>
          </c:spPr>
          <c:invertIfNegative val="0"/>
          <c:cat>
            <c:strRef>
              <c:f>'1c. Büyümeye Katkı'!$A$33:$A$104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'1c. Büyümeye Katkı'!$V$33:$V$104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E-4429-B08E-D4265753C185}"/>
            </c:ext>
          </c:extLst>
        </c:ser>
        <c:ser>
          <c:idx val="2"/>
          <c:order val="2"/>
          <c:tx>
            <c:strRef>
              <c:f>'1c. Büyümeye Katkı'!$W$12</c:f>
              <c:strCache>
                <c:ptCount val="1"/>
                <c:pt idx="0">
                  <c:v>Özel Yatırımın (Ip) Büyümeye Katkısı</c:v>
                </c:pt>
              </c:strCache>
            </c:strRef>
          </c:tx>
          <c:spPr>
            <a:solidFill>
              <a:srgbClr val="0090C1"/>
            </a:solidFill>
            <a:ln w="0">
              <a:noFill/>
              <a:prstDash val="solid"/>
            </a:ln>
            <a:effectLst/>
          </c:spPr>
          <c:invertIfNegative val="0"/>
          <c:cat>
            <c:strRef>
              <c:f>'1c. Büyümeye Katkı'!$A$33:$A$104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'1c. Büyümeye Katkı'!$W$33:$W$104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DE-4429-B08E-D4265753C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8424320"/>
        <c:axId val="1538419968"/>
      </c:barChart>
      <c:lineChart>
        <c:grouping val="standard"/>
        <c:varyColors val="0"/>
        <c:ser>
          <c:idx val="0"/>
          <c:order val="0"/>
          <c:tx>
            <c:v>Reel GSYH büyüme oranı (yıllık % değişme)</c:v>
          </c:tx>
          <c:spPr>
            <a:ln w="25400">
              <a:solidFill>
                <a:srgbClr val="787878"/>
              </a:solidFill>
              <a:prstDash val="solid"/>
            </a:ln>
            <a:effectLst/>
          </c:spPr>
          <c:marker>
            <c:symbol val="none"/>
          </c:marker>
          <c:cat>
            <c:strRef>
              <c:f>'1c. Büyümeye Katkı'!$A$33:$A$104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'1c. Büyümeye Katkı'!$R$33:$R$104</c:f>
              <c:numCache>
                <c:formatCode>0.0</c:formatCode>
                <c:ptCount val="72"/>
                <c:pt idx="44">
                  <c:v>-39.337968236926898</c:v>
                </c:pt>
                <c:pt idx="45">
                  <c:v>-9.7033246463181335</c:v>
                </c:pt>
                <c:pt idx="46">
                  <c:v>-23.686253763048803</c:v>
                </c:pt>
                <c:pt idx="47">
                  <c:v>-33.039517201412558</c:v>
                </c:pt>
                <c:pt idx="48">
                  <c:v>-39.337968236926898</c:v>
                </c:pt>
                <c:pt idx="49">
                  <c:v>-42.962652334460358</c:v>
                </c:pt>
                <c:pt idx="50">
                  <c:v>-29.038008430853868</c:v>
                </c:pt>
                <c:pt idx="51">
                  <c:v>4.6261410705870532</c:v>
                </c:pt>
                <c:pt idx="52">
                  <c:v>42.227381138869013</c:v>
                </c:pt>
                <c:pt idx="53">
                  <c:v>106.89095150552484</c:v>
                </c:pt>
                <c:pt idx="54">
                  <c:v>104.46611228781313</c:v>
                </c:pt>
                <c:pt idx="55">
                  <c:v>69.066698797625591</c:v>
                </c:pt>
                <c:pt idx="56">
                  <c:v>36.608635603988859</c:v>
                </c:pt>
                <c:pt idx="57">
                  <c:v>3.8428790518859612</c:v>
                </c:pt>
                <c:pt idx="58">
                  <c:v>-1.0774463696012204</c:v>
                </c:pt>
                <c:pt idx="59">
                  <c:v>-9.9484975160997191</c:v>
                </c:pt>
                <c:pt idx="60">
                  <c:v>42.097206426929205</c:v>
                </c:pt>
                <c:pt idx="61">
                  <c:v>30.213771638687238</c:v>
                </c:pt>
                <c:pt idx="62">
                  <c:v>37.302745887637045</c:v>
                </c:pt>
                <c:pt idx="63">
                  <c:v>20.496643882602726</c:v>
                </c:pt>
                <c:pt idx="64">
                  <c:v>6.5046783606874214</c:v>
                </c:pt>
                <c:pt idx="65">
                  <c:v>23.409504891398324</c:v>
                </c:pt>
                <c:pt idx="66">
                  <c:v>28.089150026032293</c:v>
                </c:pt>
                <c:pt idx="67">
                  <c:v>49.678228236857635</c:v>
                </c:pt>
                <c:pt idx="68">
                  <c:v>35.293495976083648</c:v>
                </c:pt>
                <c:pt idx="69">
                  <c:v>22.113223041751382</c:v>
                </c:pt>
                <c:pt idx="70">
                  <c:v>6.3735739093607302</c:v>
                </c:pt>
                <c:pt idx="71">
                  <c:v>-100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DE-4429-B08E-D4265753C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8424320"/>
        <c:axId val="1538419968"/>
      </c:lineChart>
      <c:catAx>
        <c:axId val="1538424320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crossAx val="1538419968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1538419968"/>
        <c:scaling>
          <c:orientation val="minMax"/>
          <c:min val="-15"/>
        </c:scaling>
        <c:delete val="0"/>
        <c:axPos val="l"/>
        <c:numFmt formatCode="0" sourceLinked="0"/>
        <c:majorTickMark val="in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crossAx val="1538424320"/>
        <c:crosses val="autoZero"/>
        <c:crossBetween val="between"/>
      </c:valAx>
      <c:spPr>
        <a:solidFill>
          <a:srgbClr val="FFFFFF"/>
        </a:solidFill>
        <a:ln w="3175"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1.9683012981846701E-4"/>
          <c:y val="0.1137202381811412"/>
          <c:w val="0.99980314960629857"/>
          <c:h val="5.6936799640553919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 w="25400">
      <a:noFill/>
    </a:ln>
  </c:spPr>
  <c:txPr>
    <a:bodyPr/>
    <a:lstStyle/>
    <a:p>
      <a:pPr>
        <a:defRPr>
          <a:solidFill>
            <a:schemeClr val="tx1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Özel Yatırım Bileşenleri (</a:t>
            </a:r>
            <a:r>
              <a:rPr lang="en-US" sz="1400" b="0"/>
              <a:t>% GSYH)</a:t>
            </a:r>
          </a:p>
        </c:rich>
      </c:tx>
      <c:layout>
        <c:manualLayout>
          <c:xMode val="edge"/>
          <c:yMode val="edge"/>
          <c:x val="0.36399183282731701"/>
          <c:y val="1.562500320394586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1073155391328284E-2"/>
          <c:y val="0.10694597009226749"/>
          <c:w val="0.91844481493214436"/>
          <c:h val="0.76909505599882222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'3. Özel Yatırımlar'!$I$10</c:f>
              <c:strCache>
                <c:ptCount val="1"/>
                <c:pt idx="0">
                  <c:v>Makina &amp; Ekipman</c:v>
                </c:pt>
              </c:strCache>
            </c:strRef>
          </c:tx>
          <c:spPr>
            <a:solidFill>
              <a:srgbClr val="FBB729"/>
            </a:solidFill>
            <a:ln>
              <a:noFill/>
              <a:prstDash val="solid"/>
            </a:ln>
            <a:effectLst/>
          </c:spPr>
          <c:invertIfNegative val="0"/>
          <c:cat>
            <c:strRef>
              <c:f>'3. Özel Yatırımlar'!$A$11:$A$30</c:f>
              <c:strCache>
                <c:ptCount val="20"/>
                <c:pt idx="0">
                  <c:v>Q1-1993</c:v>
                </c:pt>
                <c:pt idx="1">
                  <c:v>Q2-1993</c:v>
                </c:pt>
                <c:pt idx="2">
                  <c:v>Q3-1993</c:v>
                </c:pt>
                <c:pt idx="3">
                  <c:v>Q4-1993</c:v>
                </c:pt>
                <c:pt idx="4">
                  <c:v>Q1-1994</c:v>
                </c:pt>
                <c:pt idx="5">
                  <c:v>Q2-1994</c:v>
                </c:pt>
                <c:pt idx="6">
                  <c:v>Q3-1994</c:v>
                </c:pt>
                <c:pt idx="7">
                  <c:v>Q4-1994</c:v>
                </c:pt>
                <c:pt idx="8">
                  <c:v>Q1-1995</c:v>
                </c:pt>
                <c:pt idx="9">
                  <c:v>Q2-1995</c:v>
                </c:pt>
                <c:pt idx="10">
                  <c:v>Q3-1995</c:v>
                </c:pt>
                <c:pt idx="11">
                  <c:v>Q4-1995</c:v>
                </c:pt>
                <c:pt idx="12">
                  <c:v>Q1-1996</c:v>
                </c:pt>
                <c:pt idx="13">
                  <c:v>Q2-1996</c:v>
                </c:pt>
                <c:pt idx="14">
                  <c:v>Q3-1996</c:v>
                </c:pt>
                <c:pt idx="15">
                  <c:v>Q4-1996</c:v>
                </c:pt>
                <c:pt idx="16">
                  <c:v>Q1-1997</c:v>
                </c:pt>
                <c:pt idx="17">
                  <c:v>Q2-1997</c:v>
                </c:pt>
                <c:pt idx="18">
                  <c:v>Q3-1997</c:v>
                </c:pt>
                <c:pt idx="19">
                  <c:v>Q4-1997</c:v>
                </c:pt>
              </c:strCache>
            </c:strRef>
          </c:cat>
          <c:val>
            <c:numRef>
              <c:f>'3. Özel Yatırımlar'!$I$31:$I$102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6-454D-827A-CCDCCF782137}"/>
            </c:ext>
          </c:extLst>
        </c:ser>
        <c:ser>
          <c:idx val="2"/>
          <c:order val="1"/>
          <c:tx>
            <c:strRef>
              <c:f>'3. Özel Yatırımlar'!$J$10</c:f>
              <c:strCache>
                <c:ptCount val="1"/>
                <c:pt idx="0">
                  <c:v>İnşaat</c:v>
                </c:pt>
              </c:strCache>
            </c:strRef>
          </c:tx>
          <c:spPr>
            <a:solidFill>
              <a:srgbClr val="D3CCBD"/>
            </a:solidFill>
            <a:ln>
              <a:noFill/>
              <a:prstDash val="solid"/>
            </a:ln>
            <a:effectLst/>
          </c:spPr>
          <c:invertIfNegative val="0"/>
          <c:cat>
            <c:strRef>
              <c:f>'3. Özel Yatırımlar'!$A$11:$A$30</c:f>
              <c:strCache>
                <c:ptCount val="20"/>
                <c:pt idx="0">
                  <c:v>Q1-1993</c:v>
                </c:pt>
                <c:pt idx="1">
                  <c:v>Q2-1993</c:v>
                </c:pt>
                <c:pt idx="2">
                  <c:v>Q3-1993</c:v>
                </c:pt>
                <c:pt idx="3">
                  <c:v>Q4-1993</c:v>
                </c:pt>
                <c:pt idx="4">
                  <c:v>Q1-1994</c:v>
                </c:pt>
                <c:pt idx="5">
                  <c:v>Q2-1994</c:v>
                </c:pt>
                <c:pt idx="6">
                  <c:v>Q3-1994</c:v>
                </c:pt>
                <c:pt idx="7">
                  <c:v>Q4-1994</c:v>
                </c:pt>
                <c:pt idx="8">
                  <c:v>Q1-1995</c:v>
                </c:pt>
                <c:pt idx="9">
                  <c:v>Q2-1995</c:v>
                </c:pt>
                <c:pt idx="10">
                  <c:v>Q3-1995</c:v>
                </c:pt>
                <c:pt idx="11">
                  <c:v>Q4-1995</c:v>
                </c:pt>
                <c:pt idx="12">
                  <c:v>Q1-1996</c:v>
                </c:pt>
                <c:pt idx="13">
                  <c:v>Q2-1996</c:v>
                </c:pt>
                <c:pt idx="14">
                  <c:v>Q3-1996</c:v>
                </c:pt>
                <c:pt idx="15">
                  <c:v>Q4-1996</c:v>
                </c:pt>
                <c:pt idx="16">
                  <c:v>Q1-1997</c:v>
                </c:pt>
                <c:pt idx="17">
                  <c:v>Q2-1997</c:v>
                </c:pt>
                <c:pt idx="18">
                  <c:v>Q3-1997</c:v>
                </c:pt>
                <c:pt idx="19">
                  <c:v>Q4-1997</c:v>
                </c:pt>
              </c:strCache>
            </c:strRef>
          </c:cat>
          <c:val>
            <c:numRef>
              <c:f>'3. Özel Yatırımlar'!$J$31:$J$102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D6-454D-827A-CCDCCF782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538410176"/>
        <c:axId val="1538410720"/>
      </c:barChart>
      <c:lineChart>
        <c:grouping val="standard"/>
        <c:varyColors val="0"/>
        <c:ser>
          <c:idx val="0"/>
          <c:order val="2"/>
          <c:tx>
            <c:v>Toplam Özel Yatırmlar ( % GSYH)</c:v>
          </c:tx>
          <c:spPr>
            <a:ln w="25400">
              <a:solidFill>
                <a:srgbClr val="0090C1"/>
              </a:solidFill>
              <a:prstDash val="solid"/>
            </a:ln>
            <a:effectLst/>
          </c:spPr>
          <c:marker>
            <c:symbol val="none"/>
          </c:marker>
          <c:cat>
            <c:strRef>
              <c:f>'3. Özel Yatırımlar'!$A$31:$A$102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'3. Özel Yatırımlar'!$H$31:$H$102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D6-454D-827A-CCDCCF782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8410176"/>
        <c:axId val="1538410720"/>
      </c:lineChart>
      <c:catAx>
        <c:axId val="15384101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crossAx val="153841072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1538410720"/>
        <c:scaling>
          <c:orientation val="minMax"/>
        </c:scaling>
        <c:delete val="0"/>
        <c:axPos val="l"/>
        <c:numFmt formatCode="0" sourceLinked="0"/>
        <c:majorTickMark val="in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crossAx val="1538410176"/>
        <c:crosses val="autoZero"/>
        <c:crossBetween val="between"/>
      </c:valAx>
      <c:spPr>
        <a:solidFill>
          <a:srgbClr val="FFFFFF"/>
        </a:solidFill>
        <a:ln w="3175"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7.6430006728899352E-2"/>
          <c:y val="0.11071955190279525"/>
          <c:w val="0.9"/>
          <c:h val="5.5946943886758506E-2"/>
        </c:manualLayout>
      </c:layout>
      <c:overlay val="0"/>
      <c:spPr>
        <a:ln>
          <a:noFill/>
        </a:ln>
      </c:spPr>
    </c:legend>
    <c:plotVisOnly val="1"/>
    <c:dispBlanksAs val="zero"/>
    <c:showDLblsOverMax val="0"/>
  </c:chart>
  <c:spPr>
    <a:ln w="25400">
      <a:noFill/>
    </a:ln>
  </c:spPr>
  <c:txPr>
    <a:bodyPr/>
    <a:lstStyle/>
    <a:p>
      <a:pPr>
        <a:defRPr sz="1400">
          <a:solidFill>
            <a:schemeClr val="tx1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Özel Yatırım</a:t>
            </a:r>
            <a:r>
              <a:rPr lang="en-US" sz="1400" baseline="0"/>
              <a:t> ve Reel GSYH Büyüme oranı</a:t>
            </a:r>
            <a:r>
              <a:rPr lang="en-US" sz="1400" b="0"/>
              <a:t>(%)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0805562202146092E-2"/>
          <c:y val="0.14347941567065073"/>
          <c:w val="0.89694257597167248"/>
          <c:h val="0.7457899635055578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'3. Özel Yatırımlar'!$N$10</c:f>
              <c:strCache>
                <c:ptCount val="1"/>
                <c:pt idx="0">
                  <c:v>Makina &amp; Ekipman</c:v>
                </c:pt>
              </c:strCache>
            </c:strRef>
          </c:tx>
          <c:spPr>
            <a:solidFill>
              <a:srgbClr val="FBB729"/>
            </a:solidFill>
            <a:ln>
              <a:noFill/>
              <a:prstDash val="solid"/>
            </a:ln>
            <a:effectLst/>
          </c:spPr>
          <c:invertIfNegative val="0"/>
          <c:cat>
            <c:strRef>
              <c:f>'3. Özel Yatırımlar'!$A$31:$A$102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'3. Özel Yatırımlar'!$N$31:$N$102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D-4914-8A4A-916D2682D7CE}"/>
            </c:ext>
          </c:extLst>
        </c:ser>
        <c:ser>
          <c:idx val="1"/>
          <c:order val="1"/>
          <c:tx>
            <c:strRef>
              <c:f>'3. Özel Yatırımlar'!$O$10</c:f>
              <c:strCache>
                <c:ptCount val="1"/>
                <c:pt idx="0">
                  <c:v>İnşaat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  <a:prstDash val="solid"/>
            </a:ln>
            <a:effectLst/>
          </c:spPr>
          <c:invertIfNegative val="0"/>
          <c:cat>
            <c:strRef>
              <c:f>'3. Özel Yatırımlar'!$A$31:$A$102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'3. Özel Yatırımlar'!$O$31:$O$102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ED-4914-8A4A-916D2682D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538411808"/>
        <c:axId val="1538412896"/>
      </c:barChart>
      <c:lineChart>
        <c:grouping val="standard"/>
        <c:varyColors val="0"/>
        <c:ser>
          <c:idx val="2"/>
          <c:order val="2"/>
          <c:tx>
            <c:v>Reel GSYH Büyüme Oranı (yıllık)</c:v>
          </c:tx>
          <c:spPr>
            <a:ln w="25400">
              <a:solidFill>
                <a:srgbClr val="787878"/>
              </a:solidFill>
            </a:ln>
          </c:spPr>
          <c:marker>
            <c:symbol val="none"/>
          </c:marker>
          <c:cat>
            <c:strRef>
              <c:f>'3. Özel Yatırımlar'!$A$31:$A$102</c:f>
              <c:strCache>
                <c:ptCount val="72"/>
                <c:pt idx="0">
                  <c:v>Q1-1998</c:v>
                </c:pt>
                <c:pt idx="1">
                  <c:v>Q2-1998</c:v>
                </c:pt>
                <c:pt idx="2">
                  <c:v>Q3-1998</c:v>
                </c:pt>
                <c:pt idx="3">
                  <c:v>Q4-1998</c:v>
                </c:pt>
                <c:pt idx="4">
                  <c:v>Q1-1999</c:v>
                </c:pt>
                <c:pt idx="5">
                  <c:v>Q2-1999</c:v>
                </c:pt>
                <c:pt idx="6">
                  <c:v>Q3-1999</c:v>
                </c:pt>
                <c:pt idx="7">
                  <c:v>Q4-1999</c:v>
                </c:pt>
                <c:pt idx="8">
                  <c:v>Q1-2000</c:v>
                </c:pt>
                <c:pt idx="9">
                  <c:v>Q2-2000</c:v>
                </c:pt>
                <c:pt idx="10">
                  <c:v>Q3-2000</c:v>
                </c:pt>
                <c:pt idx="11">
                  <c:v>Q4-2000</c:v>
                </c:pt>
                <c:pt idx="12">
                  <c:v>Q1-2001</c:v>
                </c:pt>
                <c:pt idx="13">
                  <c:v>Q2-2001</c:v>
                </c:pt>
                <c:pt idx="14">
                  <c:v>Q3-2001</c:v>
                </c:pt>
                <c:pt idx="15">
                  <c:v>Q4-2001</c:v>
                </c:pt>
                <c:pt idx="16">
                  <c:v>Q1-2002</c:v>
                </c:pt>
                <c:pt idx="17">
                  <c:v>Q2-2002</c:v>
                </c:pt>
                <c:pt idx="18">
                  <c:v>Q3-2002</c:v>
                </c:pt>
                <c:pt idx="19">
                  <c:v>Q4-2002</c:v>
                </c:pt>
                <c:pt idx="20">
                  <c:v>Q1-2003</c:v>
                </c:pt>
                <c:pt idx="21">
                  <c:v>Q2-2003</c:v>
                </c:pt>
                <c:pt idx="22">
                  <c:v>Q3-2003</c:v>
                </c:pt>
                <c:pt idx="23">
                  <c:v>Q4-2003</c:v>
                </c:pt>
                <c:pt idx="24">
                  <c:v>Q1-2004</c:v>
                </c:pt>
                <c:pt idx="25">
                  <c:v>Q2-2004</c:v>
                </c:pt>
                <c:pt idx="26">
                  <c:v>Q3-2004</c:v>
                </c:pt>
                <c:pt idx="27">
                  <c:v>Q4-2004</c:v>
                </c:pt>
                <c:pt idx="28">
                  <c:v>Q1-2005</c:v>
                </c:pt>
                <c:pt idx="29">
                  <c:v>Q2-2005</c:v>
                </c:pt>
                <c:pt idx="30">
                  <c:v>Q3-2005</c:v>
                </c:pt>
                <c:pt idx="31">
                  <c:v>Q4-2005</c:v>
                </c:pt>
                <c:pt idx="32">
                  <c:v>Q1-2006</c:v>
                </c:pt>
                <c:pt idx="33">
                  <c:v>Q2-2006</c:v>
                </c:pt>
                <c:pt idx="34">
                  <c:v>Q3-2006</c:v>
                </c:pt>
                <c:pt idx="35">
                  <c:v>Q4-2006</c:v>
                </c:pt>
                <c:pt idx="36">
                  <c:v>Q1-2007</c:v>
                </c:pt>
                <c:pt idx="37">
                  <c:v>Q2-2007</c:v>
                </c:pt>
                <c:pt idx="38">
                  <c:v>Q3-2007</c:v>
                </c:pt>
                <c:pt idx="39">
                  <c:v>Q4-2007</c:v>
                </c:pt>
                <c:pt idx="40">
                  <c:v>Q1-2008</c:v>
                </c:pt>
                <c:pt idx="41">
                  <c:v>Q2-2008</c:v>
                </c:pt>
                <c:pt idx="42">
                  <c:v>Q3-2008</c:v>
                </c:pt>
                <c:pt idx="43">
                  <c:v>Q4-2008</c:v>
                </c:pt>
                <c:pt idx="44">
                  <c:v>Q1-2009</c:v>
                </c:pt>
                <c:pt idx="45">
                  <c:v>Q2-2009</c:v>
                </c:pt>
                <c:pt idx="46">
                  <c:v>Q3-2009</c:v>
                </c:pt>
                <c:pt idx="47">
                  <c:v>Q4-2009</c:v>
                </c:pt>
                <c:pt idx="48">
                  <c:v>Q1-2010</c:v>
                </c:pt>
                <c:pt idx="49">
                  <c:v>Q2-2010</c:v>
                </c:pt>
                <c:pt idx="50">
                  <c:v>Q3-2010</c:v>
                </c:pt>
                <c:pt idx="51">
                  <c:v>Q4-2010</c:v>
                </c:pt>
                <c:pt idx="52">
                  <c:v>Q1-2011</c:v>
                </c:pt>
                <c:pt idx="53">
                  <c:v>Q2-2011</c:v>
                </c:pt>
                <c:pt idx="54">
                  <c:v>Q3-2011</c:v>
                </c:pt>
                <c:pt idx="55">
                  <c:v>Q4-2011</c:v>
                </c:pt>
                <c:pt idx="56">
                  <c:v>Q1-2012</c:v>
                </c:pt>
                <c:pt idx="57">
                  <c:v>Q2-2012</c:v>
                </c:pt>
                <c:pt idx="58">
                  <c:v>Q3-2012</c:v>
                </c:pt>
                <c:pt idx="59">
                  <c:v>Q4-2012</c:v>
                </c:pt>
                <c:pt idx="60">
                  <c:v>Q1-2013</c:v>
                </c:pt>
                <c:pt idx="61">
                  <c:v>Q2-2013</c:v>
                </c:pt>
                <c:pt idx="62">
                  <c:v>Q3-2013</c:v>
                </c:pt>
                <c:pt idx="63">
                  <c:v>Q4-2013</c:v>
                </c:pt>
                <c:pt idx="64">
                  <c:v>Q1-2014</c:v>
                </c:pt>
                <c:pt idx="65">
                  <c:v>Q2-2014</c:v>
                </c:pt>
                <c:pt idx="66">
                  <c:v>Q3-2014</c:v>
                </c:pt>
                <c:pt idx="67">
                  <c:v>Q4-2014</c:v>
                </c:pt>
                <c:pt idx="68">
                  <c:v>Q1-2015</c:v>
                </c:pt>
                <c:pt idx="69">
                  <c:v>Q2-2015</c:v>
                </c:pt>
                <c:pt idx="70">
                  <c:v>Q3-2015</c:v>
                </c:pt>
                <c:pt idx="71">
                  <c:v>Q4-2015</c:v>
                </c:pt>
              </c:strCache>
            </c:strRef>
          </c:cat>
          <c:val>
            <c:numRef>
              <c:f>'3. Özel Yatırımlar'!$L$31:$L$102</c:f>
              <c:numCache>
                <c:formatCode>0.0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-18.973032009928904</c:v>
                </c:pt>
                <c:pt idx="49">
                  <c:v>-9.7033246463181335</c:v>
                </c:pt>
                <c:pt idx="50">
                  <c:v>-23.686253763048803</c:v>
                </c:pt>
                <c:pt idx="51">
                  <c:v>-33.039517201412558</c:v>
                </c:pt>
                <c:pt idx="52">
                  <c:v>-39.337968236926898</c:v>
                </c:pt>
                <c:pt idx="53">
                  <c:v>-42.962652334460358</c:v>
                </c:pt>
                <c:pt idx="54">
                  <c:v>-29.038008430853868</c:v>
                </c:pt>
                <c:pt idx="55">
                  <c:v>4.6261410705870532</c:v>
                </c:pt>
                <c:pt idx="56">
                  <c:v>42.227381138869013</c:v>
                </c:pt>
                <c:pt idx="57">
                  <c:v>106.89095150552484</c:v>
                </c:pt>
                <c:pt idx="58">
                  <c:v>104.46611228781313</c:v>
                </c:pt>
                <c:pt idx="59">
                  <c:v>69.066698797625591</c:v>
                </c:pt>
                <c:pt idx="60">
                  <c:v>36.608635603988859</c:v>
                </c:pt>
                <c:pt idx="61">
                  <c:v>3.8428790518859612</c:v>
                </c:pt>
                <c:pt idx="62">
                  <c:v>-1.0774463696012204</c:v>
                </c:pt>
                <c:pt idx="63">
                  <c:v>-9.9484975160997191</c:v>
                </c:pt>
                <c:pt idx="64">
                  <c:v>42.097206426929205</c:v>
                </c:pt>
                <c:pt idx="65">
                  <c:v>30.213771638687238</c:v>
                </c:pt>
                <c:pt idx="66">
                  <c:v>37.302745887637045</c:v>
                </c:pt>
                <c:pt idx="67">
                  <c:v>20.496643882602726</c:v>
                </c:pt>
                <c:pt idx="68">
                  <c:v>6.5046783606874214</c:v>
                </c:pt>
                <c:pt idx="69">
                  <c:v>23.409504891398324</c:v>
                </c:pt>
                <c:pt idx="70">
                  <c:v>28.089150026032293</c:v>
                </c:pt>
                <c:pt idx="71">
                  <c:v>49.678228236857635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ED-4914-8A4A-916D2682D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8413984"/>
        <c:axId val="1538413440"/>
      </c:lineChart>
      <c:catAx>
        <c:axId val="1538411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crossAx val="1538412896"/>
        <c:crossesAt val="-80"/>
        <c:auto val="1"/>
        <c:lblAlgn val="ctr"/>
        <c:lblOffset val="100"/>
        <c:tickLblSkip val="8"/>
        <c:tickMarkSkip val="4"/>
        <c:noMultiLvlLbl val="0"/>
      </c:catAx>
      <c:valAx>
        <c:axId val="1538412896"/>
        <c:scaling>
          <c:orientation val="minMax"/>
          <c:max val="125"/>
          <c:min val="-80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25400">
            <a:noFill/>
          </a:ln>
        </c:spPr>
        <c:crossAx val="1538411808"/>
        <c:crosses val="autoZero"/>
        <c:crossBetween val="between"/>
      </c:valAx>
      <c:valAx>
        <c:axId val="1538413440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crossAx val="1538413984"/>
        <c:crosses val="max"/>
        <c:crossBetween val="between"/>
      </c:valAx>
      <c:catAx>
        <c:axId val="1538413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538413440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 w="3175"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3322932657049413"/>
          <c:y val="0.13815771036588562"/>
          <c:w val="0.77707746709823422"/>
          <c:h val="5.7061413140090556E-2"/>
        </c:manualLayout>
      </c:layout>
      <c:overlay val="0"/>
    </c:legend>
    <c:plotVisOnly val="1"/>
    <c:dispBlanksAs val="gap"/>
    <c:showDLblsOverMax val="0"/>
  </c:chart>
  <c:spPr>
    <a:ln w="9525">
      <a:noFill/>
    </a:ln>
  </c:spPr>
  <c:txPr>
    <a:bodyPr/>
    <a:lstStyle/>
    <a:p>
      <a:pPr>
        <a:defRPr sz="1400">
          <a:solidFill>
            <a:schemeClr val="tx1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112059</xdr:colOff>
      <xdr:row>4</xdr:row>
      <xdr:rowOff>56029</xdr:rowOff>
    </xdr:from>
    <xdr:ext cx="6611472" cy="3808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2B2EAB7-290E-4DE7-BA49-993BBB1E1295}"/>
                </a:ext>
              </a:extLst>
            </xdr:cNvPr>
            <xdr:cNvSpPr txBox="1"/>
          </xdr:nvSpPr>
          <xdr:spPr>
            <a:xfrm>
              <a:off x="1443019" y="1153309"/>
              <a:ext cx="6611472" cy="380851"/>
            </a:xfrm>
            <a:prstGeom prst="rect">
              <a:avLst/>
            </a:prstGeom>
            <a:solidFill>
              <a:srgbClr val="FDB8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n-US" sz="1600" b="0">
                  <a:latin typeface="Cambria Math" panose="02040503050406030204" pitchFamily="18" charset="0"/>
                  <a:ea typeface="Cambria Math" panose="02040503050406030204" pitchFamily="18" charset="0"/>
                </a:rPr>
                <a:t> Bileşenlerin GSYH içindeki payı</a:t>
              </a:r>
              <a:r>
                <a:rPr lang="en-US" sz="1600" b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GDP</a:t>
              </a:r>
              <a14:m>
                <m:oMath xmlns:m="http://schemas.openxmlformats.org/officeDocument/2006/math">
                  <m:r>
                    <a:rPr lang="en-US" sz="1600" b="0" i="0">
                      <a:latin typeface="Cambria Math" panose="02040503050406030204" pitchFamily="18" charset="0"/>
                    </a:rPr>
                    <m:t> 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= </m:t>
                  </m:r>
                  <m:d>
                    <m:dPr>
                      <m:begChr m:val="["/>
                      <m:endChr m:val="]"/>
                      <m:ctrlPr>
                        <a:rPr lang="en-US" sz="16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6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b>
                            <m:sSubPr>
                              <m:ctrlPr>
                                <a:rPr lang="en-US" sz="16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US" sz="1600" b="0" i="1">
                                  <a:latin typeface="Cambria Math" panose="02040503050406030204" pitchFamily="18" charset="0"/>
                                </a:rPr>
                                <m:t>𝐵𝑖𝑙𝑒</m:t>
                              </m:r>
                              <m:r>
                                <a:rPr lang="en-US" sz="1600" b="0" i="1">
                                  <a:latin typeface="Cambria Math" panose="02040503050406030204" pitchFamily="18" charset="0"/>
                                </a:rPr>
                                <m:t>ş</m:t>
                              </m:r>
                              <m:r>
                                <a:rPr lang="en-US" sz="1600" b="0" i="1">
                                  <a:latin typeface="Cambria Math" panose="02040503050406030204" pitchFamily="18" charset="0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lang="en-US" sz="1600" b="0" i="1">
                                  <a:latin typeface="Cambria Math" panose="02040503050406030204" pitchFamily="18" charset="0"/>
                                </a:rPr>
                                <m:t>𝑡</m:t>
                              </m:r>
                            </m:sub>
                          </m:sSub>
                        </m:num>
                        <m:den>
                          <m:sSubSup>
                            <m:sSubSupPr>
                              <m:ctrlPr>
                                <a:rPr lang="en-US" sz="1600" b="0" i="1">
                                  <a:latin typeface="Cambria Math" panose="02040503050406030204" pitchFamily="18" charset="0"/>
                                </a:rPr>
                              </m:ctrlPr>
                            </m:sSubSupPr>
                            <m:e>
                              <m:r>
                                <a:rPr lang="en-US" sz="1600" b="0" i="1">
                                  <a:latin typeface="Cambria Math" panose="02040503050406030204" pitchFamily="18" charset="0"/>
                                </a:rPr>
                                <m:t>𝐺𝑆𝑌𝐻</m:t>
                              </m:r>
                            </m:e>
                            <m:sub>
                              <m:r>
                                <a:rPr lang="en-US" sz="1600" b="0" i="1">
                                  <a:latin typeface="Cambria Math" panose="02040503050406030204" pitchFamily="18" charset="0"/>
                                </a:rPr>
                                <m:t>𝑡</m:t>
                              </m:r>
                            </m:sub>
                            <m:sup>
                              <m:r>
                                <a:rPr lang="en-US" sz="1600" b="0" i="1">
                                  <a:latin typeface="Cambria Math" panose="02040503050406030204" pitchFamily="18" charset="0"/>
                                </a:rPr>
                                <m:t> </m:t>
                              </m:r>
                            </m:sup>
                          </m:sSubSup>
                        </m:den>
                      </m:f>
                      <m:r>
                        <a:rPr lang="en-US" sz="1600" b="0" i="1">
                          <a:latin typeface="Cambria Math" panose="02040503050406030204" pitchFamily="18" charset="0"/>
                        </a:rPr>
                        <m:t> </m:t>
                      </m:r>
                    </m:e>
                  </m:d>
                  <m:r>
                    <a:rPr lang="en-US" sz="1600" b="0" i="1">
                      <a:latin typeface="Cambria Math" panose="02040503050406030204" pitchFamily="18" charset="0"/>
                    </a:rPr>
                    <m:t>∗100</m:t>
                  </m:r>
                </m:oMath>
              </a14:m>
              <a:endParaRPr lang="es-AR" sz="9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2B2EAB7-290E-4DE7-BA49-993BBB1E1295}"/>
                </a:ext>
              </a:extLst>
            </xdr:cNvPr>
            <xdr:cNvSpPr txBox="1"/>
          </xdr:nvSpPr>
          <xdr:spPr>
            <a:xfrm>
              <a:off x="1443019" y="1153309"/>
              <a:ext cx="6611472" cy="380851"/>
            </a:xfrm>
            <a:prstGeom prst="rect">
              <a:avLst/>
            </a:prstGeom>
            <a:solidFill>
              <a:srgbClr val="FDB8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n-US" sz="1600" b="0">
                  <a:latin typeface="Cambria Math" panose="02040503050406030204" pitchFamily="18" charset="0"/>
                  <a:ea typeface="Cambria Math" panose="02040503050406030204" pitchFamily="18" charset="0"/>
                </a:rPr>
                <a:t> Bileşenlerin GSYH içindeki payı</a:t>
              </a:r>
              <a:r>
                <a:rPr lang="en-US" sz="1600" b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GDP</a:t>
              </a:r>
              <a:r>
                <a:rPr lang="en-US" sz="1600" b="0" i="0">
                  <a:latin typeface="Cambria Math" panose="02040503050406030204" pitchFamily="18" charset="0"/>
                </a:rPr>
                <a:t> = [〖𝐵𝑖𝑙𝑒ş𝑒𝑛〗_𝑡/(〖𝐺𝑆𝑌𝐻〗_𝑡^  )  ]∗100</a:t>
              </a:r>
              <a:endParaRPr lang="es-AR" sz="900"/>
            </a:p>
          </xdr:txBody>
        </xdr:sp>
      </mc:Fallback>
    </mc:AlternateContent>
    <xdr:clientData/>
  </xdr:oneCellAnchor>
  <xdr:twoCellAnchor>
    <xdr:from>
      <xdr:col>6</xdr:col>
      <xdr:colOff>574040</xdr:colOff>
      <xdr:row>121</xdr:row>
      <xdr:rowOff>147320</xdr:rowOff>
    </xdr:from>
    <xdr:to>
      <xdr:col>10</xdr:col>
      <xdr:colOff>1158240</xdr:colOff>
      <xdr:row>136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6637B2-07E3-4ACD-AF45-30D47882C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91117</xdr:colOff>
      <xdr:row>4</xdr:row>
      <xdr:rowOff>48662</xdr:rowOff>
    </xdr:from>
    <xdr:to>
      <xdr:col>30</xdr:col>
      <xdr:colOff>481853</xdr:colOff>
      <xdr:row>33</xdr:row>
      <xdr:rowOff>11205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94456</xdr:colOff>
      <xdr:row>35</xdr:row>
      <xdr:rowOff>85911</xdr:rowOff>
    </xdr:from>
    <xdr:to>
      <xdr:col>31</xdr:col>
      <xdr:colOff>119530</xdr:colOff>
      <xdr:row>63</xdr:row>
      <xdr:rowOff>85911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445836</xdr:colOff>
      <xdr:row>35</xdr:row>
      <xdr:rowOff>172708</xdr:rowOff>
    </xdr:from>
    <xdr:to>
      <xdr:col>16</xdr:col>
      <xdr:colOff>403412</xdr:colOff>
      <xdr:row>62</xdr:row>
      <xdr:rowOff>33617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459443</xdr:colOff>
      <xdr:row>5</xdr:row>
      <xdr:rowOff>44822</xdr:rowOff>
    </xdr:from>
    <xdr:to>
      <xdr:col>16</xdr:col>
      <xdr:colOff>493060</xdr:colOff>
      <xdr:row>33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305760</xdr:colOff>
      <xdr:row>65</xdr:row>
      <xdr:rowOff>59231</xdr:rowOff>
    </xdr:from>
    <xdr:to>
      <xdr:col>20</xdr:col>
      <xdr:colOff>593910</xdr:colOff>
      <xdr:row>92</xdr:row>
      <xdr:rowOff>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63500</xdr:colOff>
      <xdr:row>4</xdr:row>
      <xdr:rowOff>22412</xdr:rowOff>
    </xdr:from>
    <xdr:ext cx="8298373" cy="6818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F3798EC-FEC6-4D52-862F-834CB3AD42B6}"/>
                </a:ext>
              </a:extLst>
            </xdr:cNvPr>
            <xdr:cNvSpPr txBox="1"/>
          </xdr:nvSpPr>
          <xdr:spPr>
            <a:xfrm>
              <a:off x="880133" y="1195604"/>
              <a:ext cx="8298373" cy="681860"/>
            </a:xfrm>
            <a:prstGeom prst="rect">
              <a:avLst/>
            </a:prstGeom>
            <a:solidFill>
              <a:srgbClr val="FDB8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n-US" sz="1200" b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0" i="1">
                  <a:latin typeface="Cambria Math" panose="02040503050406030204" pitchFamily="18" charset="0"/>
                  <a:ea typeface="Cambria Math" panose="02040503050406030204" pitchFamily="18" charset="0"/>
                </a:rPr>
                <a:t>B</a:t>
              </a:r>
              <a14:m>
                <m:oMath xmlns:m="http://schemas.openxmlformats.org/officeDocument/2006/math">
                  <m:r>
                    <a:rPr lang="en-US" sz="1200" b="0" i="1">
                      <a:latin typeface="Cambria Math" panose="02040503050406030204" pitchFamily="18" charset="0"/>
                    </a:rPr>
                    <m:t>𝑖𝑙𝑒</m:t>
                  </m:r>
                  <m:r>
                    <a:rPr lang="en-US" sz="1200" b="0" i="1">
                      <a:latin typeface="Cambria Math" panose="02040503050406030204" pitchFamily="18" charset="0"/>
                    </a:rPr>
                    <m:t>ş</m:t>
                  </m:r>
                  <m:r>
                    <a:rPr lang="en-US" sz="1200" b="0" i="1">
                      <a:latin typeface="Cambria Math" panose="02040503050406030204" pitchFamily="18" charset="0"/>
                    </a:rPr>
                    <m:t>𝑒𝑛𝑙𝑒𝑟𝑖𝑛</m:t>
                  </m:r>
                  <m:r>
                    <a:rPr lang="en-US" sz="12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200" b="0" i="1">
                      <a:latin typeface="Cambria Math" panose="02040503050406030204" pitchFamily="18" charset="0"/>
                    </a:rPr>
                    <m:t>𝐵</m:t>
                  </m:r>
                  <m:r>
                    <a:rPr lang="en-US" sz="1200" b="0" i="1">
                      <a:latin typeface="Cambria Math" panose="02040503050406030204" pitchFamily="18" charset="0"/>
                    </a:rPr>
                    <m:t>ü</m:t>
                  </m:r>
                  <m:r>
                    <a:rPr lang="en-US" sz="1200" b="0" i="1">
                      <a:latin typeface="Cambria Math" panose="02040503050406030204" pitchFamily="18" charset="0"/>
                    </a:rPr>
                    <m:t>𝑦</m:t>
                  </m:r>
                  <m:r>
                    <a:rPr lang="en-US" sz="1200" b="0" i="1">
                      <a:latin typeface="Cambria Math" panose="02040503050406030204" pitchFamily="18" charset="0"/>
                    </a:rPr>
                    <m:t>ü</m:t>
                  </m:r>
                  <m:r>
                    <a:rPr lang="en-US" sz="1200" b="0" i="1">
                      <a:latin typeface="Cambria Math" panose="02040503050406030204" pitchFamily="18" charset="0"/>
                    </a:rPr>
                    <m:t>𝑚𝑒</m:t>
                  </m:r>
                  <m:r>
                    <a:rPr lang="en-US" sz="12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200" b="0" i="1">
                      <a:latin typeface="Cambria Math" panose="02040503050406030204" pitchFamily="18" charset="0"/>
                    </a:rPr>
                    <m:t>𝑜𝑟𝑎𝑛𝚤</m:t>
                  </m:r>
                  <m:r>
                    <a:rPr lang="en-US" sz="1200" b="0" i="1">
                      <a:latin typeface="Cambria Math" panose="02040503050406030204" pitchFamily="18" charset="0"/>
                    </a:rPr>
                    <m:t> </m:t>
                  </m:r>
                  <m:d>
                    <m:dPr>
                      <m:ctrlPr>
                        <a:rPr lang="en-US" sz="12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200" b="0" i="1">
                          <a:latin typeface="Cambria Math" panose="02040503050406030204" pitchFamily="18" charset="0"/>
                        </a:rPr>
                        <m:t>𝑌𝚤𝑙𝑙𝚤𝑘</m:t>
                      </m:r>
                    </m:e>
                  </m:d>
                  <m:r>
                    <a:rPr lang="en-US" sz="1200" b="0" i="1">
                      <a:latin typeface="Cambria Math" panose="02040503050406030204" pitchFamily="18" charset="0"/>
                    </a:rPr>
                    <m:t>= </m:t>
                  </m:r>
                  <m:r>
                    <a:rPr kumimoji="0" lang="en-US" sz="12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d>
                    <m:dPr>
                      <m:begChr m:val="["/>
                      <m:endChr m:val="]"/>
                      <m:ctrlP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f>
                        <m:fPr>
                          <m:ctrlPr>
                            <a:rPr kumimoji="0" lang="en-US" sz="12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sSub>
                            <m:sSubPr>
                              <m:ctrlP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𝐵𝑖𝑙𝑒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ş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</m:sub>
                          </m:sSub>
                          <m:r>
                            <a:rPr kumimoji="0" lang="en-US" sz="12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− </m:t>
                          </m:r>
                          <m:sSub>
                            <m:sSubPr>
                              <m:ctrlP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𝐵𝑖𝑙𝑒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ş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−4</m:t>
                              </m:r>
                            </m:sub>
                          </m:sSub>
                        </m:num>
                        <m:den>
                          <m:sSubSup>
                            <m:sSubSupPr>
                              <m:ctrlP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SupPr>
                            <m:e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     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𝐵𝑖𝑙𝑒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ş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−4</m:t>
                              </m:r>
                            </m:sub>
                            <m:sup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</m:t>
                              </m:r>
                            </m:sup>
                          </m:sSubSup>
                        </m:den>
                      </m:f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e>
                  </m:d>
                  <m:r>
                    <a:rPr kumimoji="0" lang="en-US" sz="12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+mn-ea"/>
                      <a:cs typeface="+mn-cs"/>
                    </a:rPr>
                    <m:t>∗100=</m:t>
                  </m:r>
                  <m:d>
                    <m:dPr>
                      <m:begChr m:val="["/>
                      <m:endChr m:val="]"/>
                      <m:ctrlPr>
                        <a:rPr lang="en-US" sz="12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2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b>
                            <m:sSubPr>
                              <m:ctrlPr>
                                <a:rPr lang="en-US" sz="12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𝐵𝑖𝑙𝑒</m:t>
                              </m:r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ş</m:t>
                              </m:r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𝑄</m:t>
                              </m:r>
                            </m:sub>
                          </m:sSub>
                        </m:num>
                        <m:den>
                          <m:sSubSup>
                            <m:sSubSupPr>
                              <m:ctrlPr>
                                <a:rPr lang="en-US" sz="1200" b="0" i="1">
                                  <a:latin typeface="Cambria Math" panose="02040503050406030204" pitchFamily="18" charset="0"/>
                                </a:rPr>
                              </m:ctrlPr>
                            </m:sSubSupPr>
                            <m:e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      </m:t>
                              </m:r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𝐵𝑖𝑙𝑒</m:t>
                              </m:r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ş</m:t>
                              </m:r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𝑄</m:t>
                              </m:r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−4</m:t>
                              </m:r>
                            </m:sub>
                            <m:sup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 </m:t>
                              </m:r>
                            </m:sup>
                          </m:sSubSup>
                        </m:den>
                      </m:f>
                      <m:r>
                        <a:rPr lang="en-US" sz="1200" b="0" i="1">
                          <a:latin typeface="Cambria Math" panose="02040503050406030204" pitchFamily="18" charset="0"/>
                        </a:rPr>
                        <m:t> −1</m:t>
                      </m:r>
                    </m:e>
                  </m:d>
                  <m:r>
                    <a:rPr lang="en-US" sz="1200" b="0" i="1">
                      <a:latin typeface="Cambria Math" panose="02040503050406030204" pitchFamily="18" charset="0"/>
                    </a:rPr>
                    <m:t>∗100</m:t>
                  </m:r>
                </m:oMath>
              </a14:m>
              <a:endParaRPr lang="es-AR" sz="12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F3798EC-FEC6-4D52-862F-834CB3AD42B6}"/>
                </a:ext>
              </a:extLst>
            </xdr:cNvPr>
            <xdr:cNvSpPr txBox="1"/>
          </xdr:nvSpPr>
          <xdr:spPr>
            <a:xfrm>
              <a:off x="880133" y="1195604"/>
              <a:ext cx="8298373" cy="681860"/>
            </a:xfrm>
            <a:prstGeom prst="rect">
              <a:avLst/>
            </a:prstGeom>
            <a:solidFill>
              <a:srgbClr val="FDB8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n-US" sz="1200" b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0" i="1">
                  <a:latin typeface="Cambria Math" panose="02040503050406030204" pitchFamily="18" charset="0"/>
                  <a:ea typeface="Cambria Math" panose="02040503050406030204" pitchFamily="18" charset="0"/>
                </a:rPr>
                <a:t>B</a:t>
              </a:r>
              <a:r>
                <a:rPr lang="en-US" sz="1200" b="0" i="0">
                  <a:latin typeface="Cambria Math" panose="02040503050406030204" pitchFamily="18" charset="0"/>
                </a:rPr>
                <a:t>𝑖𝑙𝑒ş𝑒𝑛𝑙𝑒𝑟𝑖𝑛 𝐵ü𝑦ü𝑚𝑒 𝑜𝑟𝑎𝑛𝚤 (𝑌𝚤𝑙𝑙𝚤𝑘)= 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 [(〖𝐵𝑖𝑙𝑒ş𝑒𝑛〗_𝑄  − 〖𝐵𝑖𝑙𝑒ş𝑒𝑛〗_(𝑄−4))/(〖      𝐵𝑖𝑙𝑒ş𝑒𝑛〗_(𝑄−4)^  )  ]∗100=</a:t>
              </a:r>
              <a:r>
                <a:rPr lang="en-US" sz="1200" b="0" i="0">
                  <a:latin typeface="Cambria Math" panose="02040503050406030204" pitchFamily="18" charset="0"/>
                </a:rPr>
                <a:t>[〖𝐵𝑖𝑙𝑒ş𝑒𝑛〗_𝑄/(〖      𝐵𝑖𝑙𝑒ş𝑒𝑛〗_(𝑄−4)^  )  −1]∗100</a:t>
              </a:r>
              <a:endParaRPr lang="es-AR" sz="1200"/>
            </a:p>
          </xdr:txBody>
        </xdr:sp>
      </mc:Fallback>
    </mc:AlternateContent>
    <xdr:clientData/>
  </xdr:oneCellAnchor>
  <xdr:oneCellAnchor>
    <xdr:from>
      <xdr:col>11</xdr:col>
      <xdr:colOff>1042010</xdr:colOff>
      <xdr:row>4</xdr:row>
      <xdr:rowOff>0</xdr:rowOff>
    </xdr:from>
    <xdr:ext cx="10632405" cy="7085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873F748-E5EC-479A-8D6D-6CC93F19E890}"/>
                </a:ext>
              </a:extLst>
            </xdr:cNvPr>
            <xdr:cNvSpPr txBox="1"/>
          </xdr:nvSpPr>
          <xdr:spPr>
            <a:xfrm>
              <a:off x="12325361" y="1173192"/>
              <a:ext cx="10632405" cy="708556"/>
            </a:xfrm>
            <a:prstGeom prst="rect">
              <a:avLst/>
            </a:prstGeom>
            <a:solidFill>
              <a:srgbClr val="FDB8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n-US" sz="1800" b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0">
                  <a:latin typeface="Cambria Math" panose="02040503050406030204" pitchFamily="18" charset="0"/>
                  <a:ea typeface="Cambria Math" panose="02040503050406030204" pitchFamily="18" charset="0"/>
                </a:rPr>
                <a:t>Bileşenlerin Büyümeye Katkısı</a:t>
              </a:r>
              <a14:m>
                <m:oMath xmlns:m="http://schemas.openxmlformats.org/officeDocument/2006/math">
                  <m:r>
                    <a:rPr lang="en-US" sz="1200" b="0" i="1">
                      <a:latin typeface="Cambria Math" panose="02040503050406030204" pitchFamily="18" charset="0"/>
                    </a:rPr>
                    <m:t> </m:t>
                  </m:r>
                  <m:d>
                    <m:dPr>
                      <m:ctrlPr>
                        <a:rPr lang="en-US" sz="12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200" b="0" i="1">
                          <a:latin typeface="Cambria Math" panose="02040503050406030204" pitchFamily="18" charset="0"/>
                        </a:rPr>
                        <m:t>𝑌𝚤𝑙𝑙𝚤𝑘</m:t>
                      </m:r>
                    </m:e>
                  </m:d>
                  <m:r>
                    <a:rPr lang="en-US" sz="12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𝐵</m:t>
                      </m:r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ü</m:t>
                      </m:r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ü</m:t>
                      </m:r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𝑚𝑒</m:t>
                      </m:r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𝑂𝑟𝑎𝑛𝚤</m:t>
                      </m:r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e>
                  </m:d>
                  <m:r>
                    <a:rPr kumimoji="0" lang="en-US" sz="12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d>
                    <m:dPr>
                      <m:begChr m:val="["/>
                      <m:endChr m:val="]"/>
                      <m:ctrlP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𝑆𝐺𝑆𝑌</m:t>
                      </m:r>
                      <m:sSup>
                        <m:sSupPr>
                          <m:ctrlPr>
                            <a:rPr kumimoji="0" lang="en-US" sz="12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kumimoji="0" lang="en-US" sz="12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𝐻</m:t>
                          </m:r>
                        </m:e>
                        <m:sup>
                          <m:r>
                            <a:rPr kumimoji="0" lang="en-US" sz="12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′</m:t>
                          </m:r>
                        </m:sup>
                      </m:sSup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𝑑𝑎𝑘𝑖</m:t>
                      </m:r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𝑃𝑎𝑦𝚤</m:t>
                      </m:r>
                    </m:e>
                  </m:d>
                  <m:r>
                    <a:rPr kumimoji="0" lang="en-US" sz="12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f>
                        <m:fPr>
                          <m:ctrlPr>
                            <a:rPr kumimoji="0" lang="en-US" sz="12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sSub>
                            <m:sSubPr>
                              <m:ctrlP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𝐵𝑖𝑙𝑒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ş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</m:sub>
                          </m:sSub>
                          <m:r>
                            <a:rPr kumimoji="0" lang="en-US" sz="12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− </m:t>
                          </m:r>
                          <m:sSub>
                            <m:sSubPr>
                              <m:ctrlP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𝐵𝑖𝑙𝑒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ş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−4</m:t>
                              </m:r>
                            </m:sub>
                          </m:sSub>
                          <m:r>
                            <a:rPr kumimoji="0" lang="en-US" sz="12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   </m:t>
                          </m:r>
                        </m:num>
                        <m:den>
                          <m:sSubSup>
                            <m:sSubSupPr>
                              <m:ctrlP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SupPr>
                            <m:e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   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𝐵𝑖𝑙𝑒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ş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−4</m:t>
                              </m:r>
                            </m:sub>
                            <m:sup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</m:t>
                              </m:r>
                            </m:sup>
                          </m:sSubSup>
                        </m:den>
                      </m:f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e>
                  </m:d>
                  <m:r>
                    <a:rPr kumimoji="0" lang="en-US" sz="12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+mn-ea"/>
                      <a:cs typeface="+mn-cs"/>
                    </a:rPr>
                    <m:t>∗100∗</m:t>
                  </m:r>
                  <m:d>
                    <m:dPr>
                      <m:begChr m:val="["/>
                      <m:endChr m:val="]"/>
                      <m:ctrlP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f>
                        <m:fPr>
                          <m:ctrlPr>
                            <a:rPr kumimoji="0" lang="en-US" sz="12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sSub>
                            <m:sSubPr>
                              <m:ctrlP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𝐵𝑖𝑙𝑒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ş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−4</m:t>
                              </m:r>
                            </m:sub>
                          </m:sSub>
                        </m:num>
                        <m:den>
                          <m:sSubSup>
                            <m:sSubSupPr>
                              <m:ctrlP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SupPr>
                            <m:e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     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𝐺𝑆𝑌𝐻</m:t>
                              </m:r>
                            </m:e>
                            <m:sub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−4</m:t>
                              </m:r>
                            </m:sub>
                            <m:sup>
                              <m:r>
                                <a:rPr kumimoji="0" lang="en-US" sz="12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</m:t>
                              </m:r>
                            </m:sup>
                          </m:sSubSup>
                        </m:den>
                      </m:f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e>
                  </m:d>
                  <m:r>
                    <a:rPr kumimoji="0" lang="en-US" sz="12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2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lang="en-US" sz="12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2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b>
                            <m:sSubPr>
                              <m:ctrlPr>
                                <a:rPr lang="en-US" sz="12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𝐵𝑖𝑙𝑒</m:t>
                              </m:r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ş</m:t>
                              </m:r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 </m:t>
                              </m:r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𝑄</m:t>
                              </m:r>
                            </m:sub>
                          </m:sSub>
                          <m:r>
                            <a:rPr lang="en-US" sz="1200" b="0" i="1">
                              <a:latin typeface="Cambria Math" panose="02040503050406030204" pitchFamily="18" charset="0"/>
                            </a:rPr>
                            <m:t> −</m:t>
                          </m:r>
                          <m:sSub>
                            <m:sSubPr>
                              <m:ctrlPr>
                                <a:rPr lang="en-US" sz="12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𝐵𝑖𝑙𝑒</m:t>
                              </m:r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ş</m:t>
                              </m:r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𝑄</m:t>
                              </m:r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−4</m:t>
                              </m:r>
                            </m:sub>
                          </m:sSub>
                          <m:r>
                            <a:rPr lang="en-US" sz="1200" b="0" i="1">
                              <a:latin typeface="Cambria Math" panose="02040503050406030204" pitchFamily="18" charset="0"/>
                            </a:rPr>
                            <m:t>    </m:t>
                          </m:r>
                        </m:num>
                        <m:den>
                          <m:sSubSup>
                            <m:sSubSupPr>
                              <m:ctrlPr>
                                <a:rPr lang="en-US" sz="1200" b="0" i="1">
                                  <a:latin typeface="Cambria Math" panose="02040503050406030204" pitchFamily="18" charset="0"/>
                                </a:rPr>
                              </m:ctrlPr>
                            </m:sSubSupPr>
                            <m:e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     </m:t>
                              </m:r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𝐺𝑆𝑌𝐻</m:t>
                              </m:r>
                            </m:e>
                            <m:sub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𝑄</m:t>
                              </m:r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−4</m:t>
                              </m:r>
                            </m:sub>
                            <m:sup>
                              <m:r>
                                <a:rPr lang="en-US" sz="1200" b="0" i="1">
                                  <a:latin typeface="Cambria Math" panose="02040503050406030204" pitchFamily="18" charset="0"/>
                                </a:rPr>
                                <m:t> </m:t>
                              </m:r>
                            </m:sup>
                          </m:sSubSup>
                        </m:den>
                      </m:f>
                      <m:r>
                        <a:rPr lang="en-US" sz="1200" b="0" i="1">
                          <a:latin typeface="Cambria Math" panose="02040503050406030204" pitchFamily="18" charset="0"/>
                        </a:rPr>
                        <m:t> </m:t>
                      </m:r>
                    </m:e>
                  </m:d>
                  <m:r>
                    <a:rPr lang="en-US" sz="1200" b="0" i="1">
                      <a:latin typeface="Cambria Math" panose="02040503050406030204" pitchFamily="18" charset="0"/>
                    </a:rPr>
                    <m:t>∗100</m:t>
                  </m:r>
                </m:oMath>
              </a14:m>
              <a:endParaRPr lang="es-AR" sz="12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873F748-E5EC-479A-8D6D-6CC93F19E890}"/>
                </a:ext>
              </a:extLst>
            </xdr:cNvPr>
            <xdr:cNvSpPr txBox="1"/>
          </xdr:nvSpPr>
          <xdr:spPr>
            <a:xfrm>
              <a:off x="12325361" y="1173192"/>
              <a:ext cx="10632405" cy="708556"/>
            </a:xfrm>
            <a:prstGeom prst="rect">
              <a:avLst/>
            </a:prstGeom>
            <a:solidFill>
              <a:srgbClr val="FDB8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n-US" sz="1800" b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0">
                  <a:latin typeface="Cambria Math" panose="02040503050406030204" pitchFamily="18" charset="0"/>
                  <a:ea typeface="Cambria Math" panose="02040503050406030204" pitchFamily="18" charset="0"/>
                </a:rPr>
                <a:t>Bileşenlerin Büyümeye Katkısı</a:t>
              </a:r>
              <a:r>
                <a:rPr lang="en-US" sz="1200" b="0" i="0">
                  <a:latin typeface="Cambria Math" panose="02040503050406030204" pitchFamily="18" charset="0"/>
                </a:rPr>
                <a:t> (𝑌𝚤𝑙𝑙𝚤𝑘)=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[𝐵ü𝑦ü𝑚𝑒 𝑂𝑟𝑎𝑛𝚤 ]∗[𝑆𝐺𝑆𝑌𝐻^′ 𝑑𝑎𝑘𝑖 𝑃𝑎𝑦𝚤]=[(〖𝐵𝑖𝑙𝑒ş𝑒𝑛〗_𝑄  − 〖𝐵𝑖𝑙𝑒ş𝑒𝑛〗_(𝑄−4)     )/(〖    𝐵𝑖𝑙𝑒ş𝑒𝑛〗_(𝑄−4)^  )  ]∗100∗[〖𝐵𝑖𝑙𝑒ş𝑒𝑛〗_(𝑄−4)/(〖      𝐺𝑆𝑌𝐻〗_(𝑄−4)^  )  ]  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200" b="0" i="0">
                  <a:latin typeface="Cambria Math" panose="02040503050406030204" pitchFamily="18" charset="0"/>
                </a:rPr>
                <a:t>[(〖𝐵𝑖𝑙𝑒ş𝑒𝑛〗_( 𝑄)  −〖𝐵𝑖𝑙𝑒ş𝑒𝑛〗_(𝑄−4)     )/(〖     𝐺𝑆𝑌𝐻〗_(𝑄−4)^  )  ]∗100</a:t>
              </a:r>
              <a:endParaRPr lang="es-AR" sz="12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88792</xdr:colOff>
      <xdr:row>5</xdr:row>
      <xdr:rowOff>115996</xdr:rowOff>
    </xdr:from>
    <xdr:to>
      <xdr:col>14</xdr:col>
      <xdr:colOff>123264</xdr:colOff>
      <xdr:row>30</xdr:row>
      <xdr:rowOff>179294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133137</xdr:colOff>
      <xdr:row>4</xdr:row>
      <xdr:rowOff>179430</xdr:rowOff>
    </xdr:from>
    <xdr:to>
      <xdr:col>33</xdr:col>
      <xdr:colOff>423208</xdr:colOff>
      <xdr:row>34</xdr:row>
      <xdr:rowOff>15011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14968706" cy="7085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E2E6D21-4B0B-4268-B39D-6724B7570088}"/>
                </a:ext>
              </a:extLst>
            </xdr:cNvPr>
            <xdr:cNvSpPr txBox="1"/>
          </xdr:nvSpPr>
          <xdr:spPr>
            <a:xfrm>
              <a:off x="3128818" y="1177636"/>
              <a:ext cx="14968706" cy="708556"/>
            </a:xfrm>
            <a:prstGeom prst="rect">
              <a:avLst/>
            </a:prstGeom>
            <a:solidFill>
              <a:srgbClr val="FDB8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n-US" sz="1800" b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800" b="0" i="1">
                  <a:latin typeface="Cambria Math" panose="02040503050406030204" pitchFamily="18" charset="0"/>
                  <a:ea typeface="Cambria Math" panose="02040503050406030204" pitchFamily="18" charset="0"/>
                </a:rPr>
                <a:t>Contribution</a:t>
              </a:r>
              <a:r>
                <a:rPr lang="en-US" sz="1800" b="0" i="1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of </a:t>
              </a:r>
              <a14:m>
                <m:oMath xmlns:m="http://schemas.openxmlformats.org/officeDocument/2006/math">
                  <m:r>
                    <a:rPr lang="en-US" sz="1800" b="0" i="1">
                      <a:latin typeface="Cambria Math" panose="02040503050406030204" pitchFamily="18" charset="0"/>
                    </a:rPr>
                    <m:t>  </m:t>
                  </m:r>
                  <m:r>
                    <a:rPr lang="en-US" sz="1800" b="0" i="1">
                      <a:latin typeface="Cambria Math" panose="02040503050406030204" pitchFamily="18" charset="0"/>
                    </a:rPr>
                    <m:t>𝐶𝑜𝑚𝑝𝑜𝑛𝑒𝑛𝑡𝑠</m:t>
                  </m:r>
                  <m:r>
                    <a:rPr lang="en-US" sz="18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800" b="0" i="1">
                      <a:latin typeface="Cambria Math" panose="02040503050406030204" pitchFamily="18" charset="0"/>
                    </a:rPr>
                    <m:t>𝑡𝑜</m:t>
                  </m:r>
                  <m:r>
                    <a:rPr lang="en-US" sz="18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800" b="0" i="1">
                      <a:latin typeface="Cambria Math" panose="02040503050406030204" pitchFamily="18" charset="0"/>
                    </a:rPr>
                    <m:t>𝐺𝑟𝑜𝑤𝑡h</m:t>
                  </m:r>
                  <m:r>
                    <a:rPr lang="en-US" sz="1800" b="0" i="1">
                      <a:latin typeface="Cambria Math" panose="02040503050406030204" pitchFamily="18" charset="0"/>
                    </a:rPr>
                    <m:t> </m:t>
                  </m:r>
                  <m:d>
                    <m:dPr>
                      <m:ctrlPr>
                        <a:rPr lang="en-US" sz="18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𝑌𝑜𝑌</m:t>
                      </m:r>
                    </m:e>
                  </m:d>
                  <m:r>
                    <a:rPr lang="en-US" sz="18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f>
                        <m:fPr>
                          <m:ctrlPr>
                            <a:rPr kumimoji="0" lang="en-US" sz="18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sSub>
                            <m:sSubPr>
                              <m:ctrlP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𝐶𝑜𝑚𝑝𝑜𝑛𝑒𝑛𝑡</m:t>
                              </m:r>
                            </m:e>
                            <m:sub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</m:sub>
                          </m:sSub>
                          <m:r>
                            <a:rPr kumimoji="0" lang="en-US" sz="18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− </m:t>
                          </m:r>
                          <m:sSub>
                            <m:sSubPr>
                              <m:ctrlP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𝐶𝑜𝑚𝑝𝑜𝑛𝑒𝑛𝑡</m:t>
                              </m:r>
                            </m:e>
                            <m:sub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−4</m:t>
                              </m:r>
                            </m:sub>
                          </m:sSub>
                          <m:r>
                            <a:rPr kumimoji="0" lang="en-US" sz="18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   </m:t>
                          </m:r>
                        </m:num>
                        <m:den>
                          <m:sSubSup>
                            <m:sSubSupPr>
                              <m:ctrlP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SupPr>
                            <m:e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   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𝐶𝑜𝑚𝑝𝑜𝑛𝑒𝑛𝑡</m:t>
                              </m:r>
                            </m:e>
                            <m:sub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−4</m:t>
                              </m:r>
                            </m:sub>
                            <m:sup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</m:t>
                              </m:r>
                            </m:sup>
                          </m:sSubSup>
                        </m:den>
                      </m:f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e>
                  </m:d>
                  <m:r>
                    <a:rPr kumimoji="0" lang="en-US" sz="1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+mn-ea"/>
                      <a:cs typeface="+mn-cs"/>
                    </a:rPr>
                    <m:t>∗100∗</m:t>
                  </m:r>
                  <m:d>
                    <m:dPr>
                      <m:begChr m:val="["/>
                      <m:endChr m:val="]"/>
                      <m:ctrlP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f>
                        <m:fPr>
                          <m:ctrlPr>
                            <a:rPr kumimoji="0" lang="en-US" sz="18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sSub>
                            <m:sSubPr>
                              <m:ctrlP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𝐶𝑜𝑚𝑝𝑜𝑛𝑒𝑛𝑡</m:t>
                              </m:r>
                            </m:e>
                            <m:sub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−4</m:t>
                              </m:r>
                            </m:sub>
                          </m:sSub>
                        </m:num>
                        <m:den>
                          <m:sSubSup>
                            <m:sSubSupPr>
                              <m:ctrlP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SupPr>
                            <m:e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     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𝐺𝐷𝑃</m:t>
                              </m:r>
                            </m:e>
                            <m:sub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−4</m:t>
                              </m:r>
                            </m:sub>
                            <m:sup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</m:t>
                              </m:r>
                            </m:sup>
                          </m:sSubSup>
                        </m:den>
                      </m:f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e>
                  </m:d>
                  <m:r>
                    <a:rPr kumimoji="0" lang="en-US" sz="1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lang="en-US" sz="18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8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b>
                            <m:sSubPr>
                              <m:ctrlPr>
                                <a:rPr lang="en-US" sz="18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𝐶𝑜𝑚𝑝𝑜𝑛𝑒𝑛𝑡</m:t>
                              </m:r>
                            </m:e>
                            <m:sub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 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𝑄</m:t>
                              </m:r>
                            </m:sub>
                          </m:sSub>
                          <m:r>
                            <a:rPr lang="en-US" sz="1800" b="0" i="1">
                              <a:latin typeface="Cambria Math" panose="02040503050406030204" pitchFamily="18" charset="0"/>
                            </a:rPr>
                            <m:t> − </m:t>
                          </m:r>
                          <m:sSub>
                            <m:sSubPr>
                              <m:ctrlPr>
                                <a:rPr lang="en-US" sz="18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𝐶𝑜𝑚𝑝𝑜𝑛𝑒𝑛𝑡</m:t>
                              </m:r>
                            </m:e>
                            <m:sub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𝑄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−4</m:t>
                              </m:r>
                            </m:sub>
                          </m:sSub>
                          <m:r>
                            <a:rPr lang="en-US" sz="1800" b="0" i="1">
                              <a:latin typeface="Cambria Math" panose="02040503050406030204" pitchFamily="18" charset="0"/>
                            </a:rPr>
                            <m:t>    </m:t>
                          </m:r>
                        </m:num>
                        <m:den>
                          <m:sSubSup>
                            <m:sSubSupPr>
                              <m:ctrlPr>
                                <a:rPr lang="en-US" sz="1800" b="0" i="1">
                                  <a:latin typeface="Cambria Math" panose="02040503050406030204" pitchFamily="18" charset="0"/>
                                </a:rPr>
                              </m:ctrlPr>
                            </m:sSubSupPr>
                            <m:e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     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𝐺𝐷𝑃</m:t>
                              </m:r>
                            </m:e>
                            <m:sub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𝑄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−4</m:t>
                              </m:r>
                            </m:sub>
                            <m:sup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 </m:t>
                              </m:r>
                            </m:sup>
                          </m:sSubSup>
                        </m:den>
                      </m:f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</m:t>
                      </m:r>
                    </m:e>
                  </m:d>
                  <m:r>
                    <a:rPr lang="en-US" sz="1800" b="0" i="1">
                      <a:latin typeface="Cambria Math" panose="02040503050406030204" pitchFamily="18" charset="0"/>
                    </a:rPr>
                    <m:t>∗100</m:t>
                  </m:r>
                </m:oMath>
              </a14:m>
              <a:endParaRPr lang="es-AR" sz="10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E2E6D21-4B0B-4268-B39D-6724B7570088}"/>
                </a:ext>
              </a:extLst>
            </xdr:cNvPr>
            <xdr:cNvSpPr txBox="1"/>
          </xdr:nvSpPr>
          <xdr:spPr>
            <a:xfrm>
              <a:off x="3128818" y="1177636"/>
              <a:ext cx="14968706" cy="708556"/>
            </a:xfrm>
            <a:prstGeom prst="rect">
              <a:avLst/>
            </a:prstGeom>
            <a:solidFill>
              <a:srgbClr val="FDB8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n-US" sz="1800" b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800" b="0" i="1">
                  <a:latin typeface="Cambria Math" panose="02040503050406030204" pitchFamily="18" charset="0"/>
                  <a:ea typeface="Cambria Math" panose="02040503050406030204" pitchFamily="18" charset="0"/>
                </a:rPr>
                <a:t>Contribution</a:t>
              </a:r>
              <a:r>
                <a:rPr lang="en-US" sz="1800" b="0" i="1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of </a:t>
              </a:r>
              <a:r>
                <a:rPr lang="en-US" sz="1800" b="0" i="0">
                  <a:latin typeface="Cambria Math" panose="02040503050406030204" pitchFamily="18" charset="0"/>
                </a:rPr>
                <a:t>  𝐶𝑜𝑚𝑝𝑜𝑛𝑒𝑛𝑡𝑠 𝑡𝑜 𝐺𝑟𝑜𝑤𝑡ℎ (𝑌𝑜𝑌)=</a:t>
              </a:r>
              <a:r>
                <a:rPr kumimoji="0" lang="en-US" sz="18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[(〖𝐶𝑜𝑚𝑝𝑜𝑛𝑒𝑛𝑡〗_𝑄  − 〖𝐶𝑜𝑚𝑝𝑜𝑛𝑒𝑛𝑡〗_(𝑄−4)     )/(〖    𝐶𝑜𝑚𝑝𝑜𝑛𝑒𝑛𝑡〗_(𝑄−4)^  )  ]∗100∗[〖𝐶𝑜𝑚𝑝𝑜𝑛𝑒𝑛𝑡〗_(𝑄−4)/(〖      𝐺𝐷𝑃〗_(𝑄−4)^  )  ] 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800" b="0" i="0">
                  <a:latin typeface="Cambria Math" panose="02040503050406030204" pitchFamily="18" charset="0"/>
                </a:rPr>
                <a:t>[(〖𝐶𝑜𝑚𝑝𝑜𝑛𝑒𝑛𝑡〗_( 𝑄)  − 〖𝐶𝑜𝑚𝑝𝑜𝑛𝑒𝑛𝑡〗_(𝑄−4)     )/(〖     𝐺𝐷𝑃〗_(𝑄−4)^  )  ]∗100</a:t>
              </a:r>
              <a:endParaRPr lang="es-AR" sz="1000"/>
            </a:p>
          </xdr:txBody>
        </xdr:sp>
      </mc:Fallback>
    </mc:AlternateContent>
    <xdr:clientData/>
  </xdr:oneCellAnchor>
  <xdr:oneCellAnchor>
    <xdr:from>
      <xdr:col>3</xdr:col>
      <xdr:colOff>60498</xdr:colOff>
      <xdr:row>3</xdr:row>
      <xdr:rowOff>181956</xdr:rowOff>
    </xdr:from>
    <xdr:ext cx="17762682" cy="7085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D07F84A-1EA9-466B-9CB8-54095EA6A635}"/>
                </a:ext>
              </a:extLst>
            </xdr:cNvPr>
            <xdr:cNvSpPr txBox="1"/>
          </xdr:nvSpPr>
          <xdr:spPr>
            <a:xfrm>
              <a:off x="3128818" y="1177636"/>
              <a:ext cx="17762682" cy="708556"/>
            </a:xfrm>
            <a:prstGeom prst="rect">
              <a:avLst/>
            </a:prstGeom>
            <a:solidFill>
              <a:srgbClr val="FDB8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n-US" sz="1800" b="0">
                  <a:latin typeface="Cambria Math" panose="02040503050406030204" pitchFamily="18" charset="0"/>
                  <a:ea typeface="Cambria Math" panose="02040503050406030204" pitchFamily="18" charset="0"/>
                </a:rPr>
                <a:t> Bileşenlerin Büyümeye Katkısı</a:t>
              </a:r>
              <a14:m>
                <m:oMath xmlns:m="http://schemas.openxmlformats.org/officeDocument/2006/math">
                  <m:r>
                    <a:rPr lang="en-US" sz="1800" b="0" i="1">
                      <a:latin typeface="Cambria Math" panose="02040503050406030204" pitchFamily="18" charset="0"/>
                    </a:rPr>
                    <m:t> </m:t>
                  </m:r>
                  <m:d>
                    <m:dPr>
                      <m:ctrlPr>
                        <a:rPr lang="en-US" sz="18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𝑌𝚤𝑙𝑙𝚤𝑘</m:t>
                      </m:r>
                    </m:e>
                  </m:d>
                  <m:r>
                    <a:rPr lang="en-US" sz="18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𝐵</m:t>
                      </m:r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ü</m:t>
                      </m:r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ü</m:t>
                      </m:r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𝑚𝑒</m:t>
                      </m:r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𝑂𝑟𝑎𝑛𝚤</m:t>
                      </m:r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e>
                  </m:d>
                  <m:r>
                    <a:rPr kumimoji="0" lang="en-US" sz="1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d>
                    <m:dPr>
                      <m:begChr m:val="["/>
                      <m:endChr m:val="]"/>
                      <m:ctrlP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𝑆𝐺𝑆𝑌</m:t>
                      </m:r>
                      <m:sSup>
                        <m:sSupPr>
                          <m:ctrlPr>
                            <a:rPr kumimoji="0" lang="en-US" sz="18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kumimoji="0" lang="en-US" sz="18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𝐻</m:t>
                          </m:r>
                        </m:e>
                        <m:sup>
                          <m:r>
                            <a:rPr kumimoji="0" lang="en-US" sz="18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′</m:t>
                          </m:r>
                        </m:sup>
                      </m:sSup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𝑑𝑎𝑘𝑖</m:t>
                      </m:r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𝑃𝑎𝑦𝚤</m:t>
                      </m:r>
                    </m:e>
                  </m:d>
                  <m:r>
                    <a:rPr kumimoji="0" lang="en-US" sz="1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f>
                        <m:fPr>
                          <m:ctrlPr>
                            <a:rPr kumimoji="0" lang="en-US" sz="18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sSub>
                            <m:sSubPr>
                              <m:ctrlP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𝐵𝑖𝑙𝑒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ş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</m:sub>
                          </m:sSub>
                          <m:r>
                            <a:rPr kumimoji="0" lang="en-US" sz="18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− </m:t>
                          </m:r>
                          <m:sSub>
                            <m:sSubPr>
                              <m:ctrlP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𝐵𝑖𝑙𝑒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ş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−4</m:t>
                              </m:r>
                            </m:sub>
                          </m:sSub>
                          <m:r>
                            <a:rPr kumimoji="0" lang="en-US" sz="18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   </m:t>
                          </m:r>
                        </m:num>
                        <m:den>
                          <m:sSubSup>
                            <m:sSubSupPr>
                              <m:ctrlP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SupPr>
                            <m:e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   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𝐵𝑖𝑙𝑒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ş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−4</m:t>
                              </m:r>
                            </m:sub>
                            <m:sup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</m:t>
                              </m:r>
                            </m:sup>
                          </m:sSubSup>
                        </m:den>
                      </m:f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e>
                  </m:d>
                  <m:r>
                    <a:rPr kumimoji="0" lang="en-US" sz="1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+mn-ea"/>
                      <a:cs typeface="+mn-cs"/>
                    </a:rPr>
                    <m:t>∗100∗</m:t>
                  </m:r>
                  <m:d>
                    <m:dPr>
                      <m:begChr m:val="["/>
                      <m:endChr m:val="]"/>
                      <m:ctrlP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f>
                        <m:fPr>
                          <m:ctrlPr>
                            <a:rPr kumimoji="0" lang="en-US" sz="18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sSub>
                            <m:sSubPr>
                              <m:ctrlP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𝐵𝑖𝑙𝑒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ş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−4</m:t>
                              </m:r>
                            </m:sub>
                          </m:sSub>
                        </m:num>
                        <m:den>
                          <m:sSubSup>
                            <m:sSubSupPr>
                              <m:ctrlP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SupPr>
                            <m:e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     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𝐺𝑆𝑌𝐻</m:t>
                              </m:r>
                            </m:e>
                            <m:sub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−4</m:t>
                              </m:r>
                            </m:sub>
                            <m:sup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</m:t>
                              </m:r>
                            </m:sup>
                          </m:sSubSup>
                        </m:den>
                      </m:f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e>
                  </m:d>
                  <m:r>
                    <a:rPr kumimoji="0" lang="en-US" sz="1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lang="en-US" sz="18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8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b>
                            <m:sSubPr>
                              <m:ctrlPr>
                                <a:rPr lang="en-US" sz="18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𝐵𝑖𝑙𝑒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ş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 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𝑄</m:t>
                              </m:r>
                            </m:sub>
                          </m:sSub>
                          <m:r>
                            <a:rPr lang="en-US" sz="1800" b="0" i="1">
                              <a:latin typeface="Cambria Math" panose="02040503050406030204" pitchFamily="18" charset="0"/>
                            </a:rPr>
                            <m:t> −</m:t>
                          </m:r>
                          <m:sSub>
                            <m:sSubPr>
                              <m:ctrlPr>
                                <a:rPr lang="en-US" sz="18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𝐵𝑖𝑙𝑒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ş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𝑄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−4</m:t>
                              </m:r>
                            </m:sub>
                          </m:sSub>
                          <m:r>
                            <a:rPr lang="en-US" sz="1800" b="0" i="1">
                              <a:latin typeface="Cambria Math" panose="02040503050406030204" pitchFamily="18" charset="0"/>
                            </a:rPr>
                            <m:t>    </m:t>
                          </m:r>
                        </m:num>
                        <m:den>
                          <m:sSubSup>
                            <m:sSubSupPr>
                              <m:ctrlPr>
                                <a:rPr lang="en-US" sz="1800" b="0" i="1">
                                  <a:latin typeface="Cambria Math" panose="02040503050406030204" pitchFamily="18" charset="0"/>
                                </a:rPr>
                              </m:ctrlPr>
                            </m:sSubSupPr>
                            <m:e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     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𝐺𝑆𝑌𝐻</m:t>
                              </m:r>
                            </m:e>
                            <m:sub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𝑄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−4</m:t>
                              </m:r>
                            </m:sub>
                            <m:sup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 </m:t>
                              </m:r>
                            </m:sup>
                          </m:sSubSup>
                        </m:den>
                      </m:f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</m:t>
                      </m:r>
                    </m:e>
                  </m:d>
                  <m:r>
                    <a:rPr lang="en-US" sz="1800" b="0" i="1">
                      <a:latin typeface="Cambria Math" panose="02040503050406030204" pitchFamily="18" charset="0"/>
                    </a:rPr>
                    <m:t>∗100</m:t>
                  </m:r>
                </m:oMath>
              </a14:m>
              <a:endParaRPr lang="es-AR" sz="10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D07F84A-1EA9-466B-9CB8-54095EA6A635}"/>
                </a:ext>
              </a:extLst>
            </xdr:cNvPr>
            <xdr:cNvSpPr txBox="1"/>
          </xdr:nvSpPr>
          <xdr:spPr>
            <a:xfrm>
              <a:off x="3128818" y="1177636"/>
              <a:ext cx="17762682" cy="708556"/>
            </a:xfrm>
            <a:prstGeom prst="rect">
              <a:avLst/>
            </a:prstGeom>
            <a:solidFill>
              <a:srgbClr val="FDB8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n-US" sz="1800" b="0">
                  <a:latin typeface="Cambria Math" panose="02040503050406030204" pitchFamily="18" charset="0"/>
                  <a:ea typeface="Cambria Math" panose="02040503050406030204" pitchFamily="18" charset="0"/>
                </a:rPr>
                <a:t> Bileşenlerin Büyümeye Katkısı</a:t>
              </a:r>
              <a:r>
                <a:rPr lang="en-US" sz="1800" b="0" i="0">
                  <a:latin typeface="Cambria Math" panose="02040503050406030204" pitchFamily="18" charset="0"/>
                </a:rPr>
                <a:t> (𝑌𝚤𝑙𝑙𝚤𝑘)=</a:t>
              </a:r>
              <a:r>
                <a:rPr kumimoji="0" lang="en-US" sz="18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[𝐵ü𝑦ü𝑚𝑒 𝑂𝑟𝑎𝑛𝚤 ]∗[𝑆𝐺𝑆𝑌𝐻^′ 𝑑𝑎𝑘𝑖 𝑃𝑎𝑦𝚤]=[(〖𝐵𝑖𝑙𝑒ş𝑒𝑛〗_𝑄  − 〖𝐵𝑖𝑙𝑒ş𝑒𝑛〗_(𝑄−4)     )/(〖    𝐵𝑖𝑙𝑒ş𝑒𝑛〗_(𝑄−4)^  )  ]∗100∗[〖𝐵𝑖𝑙𝑒ş𝑒𝑛〗_(𝑄−4)/(〖      𝐺𝑆𝑌𝐻〗_(𝑄−4)^  )  ] 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800" b="0" i="0">
                  <a:latin typeface="Cambria Math" panose="02040503050406030204" pitchFamily="18" charset="0"/>
                </a:rPr>
                <a:t>[(〖𝐵𝑖𝑙𝑒ş𝑒𝑛〗_( 𝑄)  −〖𝐵𝑖𝑙𝑒ş𝑒𝑛〗_(𝑄−4)     )/(〖     𝐺𝑆𝑌𝐻〗_(𝑄−4)^  )  ]∗100</a:t>
              </a:r>
              <a:endParaRPr lang="es-AR" sz="10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447211</xdr:colOff>
      <xdr:row>28</xdr:row>
      <xdr:rowOff>86086</xdr:rowOff>
    </xdr:from>
    <xdr:to>
      <xdr:col>32</xdr:col>
      <xdr:colOff>188644</xdr:colOff>
      <xdr:row>51</xdr:row>
      <xdr:rowOff>9896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429149</xdr:colOff>
      <xdr:row>4</xdr:row>
      <xdr:rowOff>220084</xdr:rowOff>
    </xdr:from>
    <xdr:to>
      <xdr:col>34</xdr:col>
      <xdr:colOff>13607</xdr:colOff>
      <xdr:row>24</xdr:row>
      <xdr:rowOff>217714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85355</xdr:colOff>
      <xdr:row>81</xdr:row>
      <xdr:rowOff>56283</xdr:rowOff>
    </xdr:from>
    <xdr:to>
      <xdr:col>18</xdr:col>
      <xdr:colOff>132080</xdr:colOff>
      <xdr:row>115</xdr:row>
      <xdr:rowOff>108857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283772</xdr:colOff>
      <xdr:row>27</xdr:row>
      <xdr:rowOff>122098</xdr:rowOff>
    </xdr:from>
    <xdr:to>
      <xdr:col>17</xdr:col>
      <xdr:colOff>149678</xdr:colOff>
      <xdr:row>51</xdr:row>
      <xdr:rowOff>122464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3402</xdr:colOff>
      <xdr:row>54</xdr:row>
      <xdr:rowOff>66181</xdr:rowOff>
    </xdr:from>
    <xdr:to>
      <xdr:col>20</xdr:col>
      <xdr:colOff>57523</xdr:colOff>
      <xdr:row>78</xdr:row>
      <xdr:rowOff>27215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307013</xdr:colOff>
      <xdr:row>5</xdr:row>
      <xdr:rowOff>193053</xdr:rowOff>
    </xdr:from>
    <xdr:to>
      <xdr:col>17</xdr:col>
      <xdr:colOff>258538</xdr:colOff>
      <xdr:row>25</xdr:row>
      <xdr:rowOff>176893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176876</xdr:colOff>
      <xdr:row>2</xdr:row>
      <xdr:rowOff>193068</xdr:rowOff>
    </xdr:from>
    <xdr:ext cx="17762682" cy="4571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52F18C5-9104-493F-B497-F2BEFE023504}"/>
                </a:ext>
              </a:extLst>
            </xdr:cNvPr>
            <xdr:cNvSpPr txBox="1"/>
          </xdr:nvSpPr>
          <xdr:spPr>
            <a:xfrm>
              <a:off x="9686636" y="904268"/>
              <a:ext cx="17762682" cy="457172"/>
            </a:xfrm>
            <a:prstGeom prst="rect">
              <a:avLst/>
            </a:prstGeom>
            <a:solidFill>
              <a:srgbClr val="FDB8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n-US" sz="1800" b="0">
                  <a:latin typeface="Cambria Math" panose="02040503050406030204" pitchFamily="18" charset="0"/>
                  <a:ea typeface="Cambria Math" panose="02040503050406030204" pitchFamily="18" charset="0"/>
                </a:rPr>
                <a:t> Bileşenlerin Büyümeye Katkısı</a:t>
              </a:r>
              <a14:m>
                <m:oMath xmlns:m="http://schemas.openxmlformats.org/officeDocument/2006/math">
                  <m:r>
                    <a:rPr lang="en-US" sz="1800" b="0" i="1">
                      <a:latin typeface="Cambria Math" panose="02040503050406030204" pitchFamily="18" charset="0"/>
                    </a:rPr>
                    <m:t> </m:t>
                  </m:r>
                  <m:d>
                    <m:dPr>
                      <m:ctrlPr>
                        <a:rPr lang="en-US" sz="18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𝑌𝚤𝑙𝑙𝚤𝑘</m:t>
                      </m:r>
                    </m:e>
                  </m:d>
                  <m:r>
                    <a:rPr lang="en-US" sz="18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𝐵</m:t>
                      </m:r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ü</m:t>
                      </m:r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ü</m:t>
                      </m:r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𝑚𝑒</m:t>
                      </m:r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𝑂𝑟𝑎𝑛𝚤</m:t>
                      </m:r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e>
                  </m:d>
                  <m:r>
                    <a:rPr kumimoji="0" lang="en-US" sz="1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d>
                    <m:dPr>
                      <m:begChr m:val="["/>
                      <m:endChr m:val="]"/>
                      <m:ctrlP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𝑆𝐺𝑆𝑌</m:t>
                      </m:r>
                      <m:sSup>
                        <m:sSupPr>
                          <m:ctrlPr>
                            <a:rPr kumimoji="0" lang="en-US" sz="18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kumimoji="0" lang="en-US" sz="18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𝐻</m:t>
                          </m:r>
                        </m:e>
                        <m:sup>
                          <m:r>
                            <a:rPr kumimoji="0" lang="en-US" sz="18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′</m:t>
                          </m:r>
                        </m:sup>
                      </m:sSup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𝑑𝑎𝑘𝑖</m:t>
                      </m:r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𝑃𝑎𝑦𝚤</m:t>
                      </m:r>
                    </m:e>
                  </m:d>
                  <m:r>
                    <a:rPr kumimoji="0" lang="en-US" sz="1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f>
                        <m:fPr>
                          <m:ctrlPr>
                            <a:rPr kumimoji="0" lang="en-US" sz="18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sSub>
                            <m:sSubPr>
                              <m:ctrlP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𝐵𝑖𝑙𝑒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ş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</m:sub>
                          </m:sSub>
                          <m:r>
                            <a:rPr kumimoji="0" lang="en-US" sz="18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− </m:t>
                          </m:r>
                          <m:sSub>
                            <m:sSubPr>
                              <m:ctrlP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𝐵𝑖𝑙𝑒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ş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−4</m:t>
                              </m:r>
                            </m:sub>
                          </m:sSub>
                          <m:r>
                            <a:rPr kumimoji="0" lang="en-US" sz="18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   </m:t>
                          </m:r>
                        </m:num>
                        <m:den>
                          <m:sSubSup>
                            <m:sSubSupPr>
                              <m:ctrlP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SupPr>
                            <m:e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   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𝐵𝑖𝑙𝑒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ş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−4</m:t>
                              </m:r>
                            </m:sub>
                            <m:sup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</m:t>
                              </m:r>
                            </m:sup>
                          </m:sSubSup>
                        </m:den>
                      </m:f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e>
                  </m:d>
                  <m:r>
                    <a:rPr kumimoji="0" lang="en-US" sz="1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+mn-ea"/>
                      <a:cs typeface="+mn-cs"/>
                    </a:rPr>
                    <m:t>∗100∗</m:t>
                  </m:r>
                  <m:d>
                    <m:dPr>
                      <m:begChr m:val="["/>
                      <m:endChr m:val="]"/>
                      <m:ctrlP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f>
                        <m:fPr>
                          <m:ctrlPr>
                            <a:rPr kumimoji="0" lang="en-US" sz="18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sSub>
                            <m:sSubPr>
                              <m:ctrlP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𝐵𝑖𝑙𝑒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ş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−4</m:t>
                              </m:r>
                            </m:sub>
                          </m:sSub>
                        </m:num>
                        <m:den>
                          <m:sSubSup>
                            <m:sSubSupPr>
                              <m:ctrlP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SupPr>
                            <m:e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     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𝐺𝑆𝑌𝐻</m:t>
                              </m:r>
                            </m:e>
                            <m:sub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−4</m:t>
                              </m:r>
                            </m:sub>
                            <m:sup>
                              <m:r>
                                <a:rPr kumimoji="0" lang="en-US" sz="18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 </m:t>
                              </m:r>
                            </m:sup>
                          </m:sSubSup>
                        </m:den>
                      </m:f>
                      <m:r>
                        <a:rPr kumimoji="0" lang="en-US" sz="18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e>
                  </m:d>
                  <m:r>
                    <a:rPr kumimoji="0" lang="en-US" sz="1800" b="0" i="1" u="none" strike="noStrike" kern="0" cap="none" spc="0" normalizeH="0" baseline="0" noProof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lang="en-US" sz="18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8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b>
                            <m:sSubPr>
                              <m:ctrlPr>
                                <a:rPr lang="en-US" sz="18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𝐵𝑖𝑙𝑒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ş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 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𝑄</m:t>
                              </m:r>
                            </m:sub>
                          </m:sSub>
                          <m:r>
                            <a:rPr lang="en-US" sz="1800" b="0" i="1">
                              <a:latin typeface="Cambria Math" panose="02040503050406030204" pitchFamily="18" charset="0"/>
                            </a:rPr>
                            <m:t> −</m:t>
                          </m:r>
                          <m:sSub>
                            <m:sSubPr>
                              <m:ctrlPr>
                                <a:rPr lang="en-US" sz="18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𝐵𝑖𝑙𝑒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ş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𝑒𝑛</m:t>
                              </m:r>
                            </m:e>
                            <m:sub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𝑄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−4</m:t>
                              </m:r>
                            </m:sub>
                          </m:sSub>
                          <m:r>
                            <a:rPr lang="en-US" sz="1800" b="0" i="1">
                              <a:latin typeface="Cambria Math" panose="02040503050406030204" pitchFamily="18" charset="0"/>
                            </a:rPr>
                            <m:t>    </m:t>
                          </m:r>
                        </m:num>
                        <m:den>
                          <m:sSubSup>
                            <m:sSubSupPr>
                              <m:ctrlPr>
                                <a:rPr lang="en-US" sz="1800" b="0" i="1">
                                  <a:latin typeface="Cambria Math" panose="02040503050406030204" pitchFamily="18" charset="0"/>
                                </a:rPr>
                              </m:ctrlPr>
                            </m:sSubSupPr>
                            <m:e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     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𝐺𝑆𝑌𝐻</m:t>
                              </m:r>
                            </m:e>
                            <m:sub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𝑄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−4</m:t>
                              </m:r>
                            </m:sub>
                            <m:sup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 </m:t>
                              </m:r>
                            </m:sup>
                          </m:sSubSup>
                        </m:den>
                      </m:f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</m:t>
                      </m:r>
                    </m:e>
                  </m:d>
                  <m:r>
                    <a:rPr lang="en-US" sz="1800" b="0" i="1">
                      <a:latin typeface="Cambria Math" panose="02040503050406030204" pitchFamily="18" charset="0"/>
                    </a:rPr>
                    <m:t>∗100</m:t>
                  </m:r>
                </m:oMath>
              </a14:m>
              <a:endParaRPr lang="es-AR" sz="10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52F18C5-9104-493F-B497-F2BEFE023504}"/>
                </a:ext>
              </a:extLst>
            </xdr:cNvPr>
            <xdr:cNvSpPr txBox="1"/>
          </xdr:nvSpPr>
          <xdr:spPr>
            <a:xfrm>
              <a:off x="9686636" y="904268"/>
              <a:ext cx="17762682" cy="457172"/>
            </a:xfrm>
            <a:prstGeom prst="rect">
              <a:avLst/>
            </a:prstGeom>
            <a:solidFill>
              <a:srgbClr val="FDB8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n-US" sz="1800" b="0">
                  <a:latin typeface="Cambria Math" panose="02040503050406030204" pitchFamily="18" charset="0"/>
                  <a:ea typeface="Cambria Math" panose="02040503050406030204" pitchFamily="18" charset="0"/>
                </a:rPr>
                <a:t> Bileşenlerin Büyümeye Katkısı</a:t>
              </a:r>
              <a:r>
                <a:rPr lang="en-US" sz="1800" b="0" i="0">
                  <a:latin typeface="Cambria Math" panose="02040503050406030204" pitchFamily="18" charset="0"/>
                </a:rPr>
                <a:t> (𝑌𝚤𝑙𝑙𝚤𝑘)=</a:t>
              </a:r>
              <a:r>
                <a:rPr kumimoji="0" lang="en-US" sz="18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[𝐵ü𝑦ü𝑚𝑒 𝑂𝑟𝑎𝑛𝚤 ]∗[𝑆𝐺𝑆𝑌𝐻^′ 𝑑𝑎𝑘𝑖 𝑃𝑎𝑦𝚤]=[(〖𝐵𝑖𝑙𝑒ş𝑒𝑛〗_𝑄  − 〖𝐵𝑖𝑙𝑒ş𝑒𝑛〗_(𝑄−4)     )/(〖    𝐵𝑖𝑙𝑒ş𝑒𝑛〗_(𝑄−4)^  )  ]∗100∗[〖𝐵𝑖𝑙𝑒ş𝑒𝑛〗_(𝑄−4)/(〖      𝐺𝑆𝑌𝐻〗_(𝑄−4)^  )  ] 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800" b="0" i="0">
                  <a:latin typeface="Cambria Math" panose="02040503050406030204" pitchFamily="18" charset="0"/>
                </a:rPr>
                <a:t>[(〖𝐵𝑖𝑙𝑒ş𝑒𝑛〗_( 𝑄)  −〖𝐵𝑖𝑙𝑒ş𝑒𝑛〗_(𝑄−4)     )/(〖     𝐺𝑆𝑌𝐻〗_(𝑄−4)^  )  ]∗100</a:t>
              </a:r>
              <a:endParaRPr lang="es-AR" sz="1000"/>
            </a:p>
          </xdr:txBody>
        </xdr:sp>
      </mc:Fallback>
    </mc:AlternateContent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441861</xdr:colOff>
      <xdr:row>5</xdr:row>
      <xdr:rowOff>38501</xdr:rowOff>
    </xdr:from>
    <xdr:to>
      <xdr:col>14</xdr:col>
      <xdr:colOff>280147</xdr:colOff>
      <xdr:row>30</xdr:row>
      <xdr:rowOff>44825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537883</xdr:colOff>
      <xdr:row>4</xdr:row>
      <xdr:rowOff>167106</xdr:rowOff>
    </xdr:from>
    <xdr:to>
      <xdr:col>30</xdr:col>
      <xdr:colOff>490700</xdr:colOff>
      <xdr:row>29</xdr:row>
      <xdr:rowOff>168089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510271</xdr:colOff>
      <xdr:row>34</xdr:row>
      <xdr:rowOff>115127</xdr:rowOff>
    </xdr:from>
    <xdr:to>
      <xdr:col>14</xdr:col>
      <xdr:colOff>302559</xdr:colOff>
      <xdr:row>58</xdr:row>
      <xdr:rowOff>123264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210798</xdr:colOff>
      <xdr:row>33</xdr:row>
      <xdr:rowOff>59203</xdr:rowOff>
    </xdr:from>
    <xdr:to>
      <xdr:col>30</xdr:col>
      <xdr:colOff>571501</xdr:colOff>
      <xdr:row>57</xdr:row>
      <xdr:rowOff>156882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201002</xdr:colOff>
      <xdr:row>0</xdr:row>
      <xdr:rowOff>142875</xdr:rowOff>
    </xdr:from>
    <xdr:to>
      <xdr:col>6</xdr:col>
      <xdr:colOff>183174</xdr:colOff>
      <xdr:row>3</xdr:row>
      <xdr:rowOff>28575</xdr:rowOff>
    </xdr:to>
    <xdr:sp macro="" textlink="">
      <xdr:nvSpPr>
        <xdr:cNvPr id="2" name="Header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201002" y="142875"/>
          <a:ext cx="5184287" cy="471854"/>
        </a:xfrm>
        <a:prstGeom prst="rect">
          <a:avLst/>
        </a:prstGeom>
        <a:noFill/>
        <a:ln w="38100" cmpd="sng">
          <a:solidFill>
            <a:srgbClr val="0070C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rtlCol="0" anchor="ctr"/>
        <a:lstStyle/>
        <a:p>
          <a:pPr algn="ctr"/>
          <a:r>
            <a:rPr lang="en-US" sz="1600" b="1" i="0">
              <a:solidFill>
                <a:schemeClr val="tx2"/>
              </a:solidFill>
              <a:latin typeface="Segoe UI"/>
            </a:rPr>
            <a:t>Summary of Aggregate Demand </a:t>
          </a:r>
          <a:r>
            <a:rPr lang="en-US" sz="1600" b="1" i="0" baseline="0">
              <a:solidFill>
                <a:schemeClr val="tx2"/>
              </a:solidFill>
              <a:latin typeface="Segoe UI"/>
            </a:rPr>
            <a:t>Assessment</a:t>
          </a:r>
          <a:endParaRPr lang="en-US" sz="1200" b="1" i="0">
            <a:solidFill>
              <a:schemeClr val="tx2"/>
            </a:solidFill>
            <a:latin typeface="Segoe UI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ATA\S1\ECU\Current\ecubopLate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ATA\S1\ECU\SECTORS\External\PERUMF9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DATA\PA\CHL\SECTORS\BOP\Bop02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\TEMP\MFLOW9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~%20CJM%20Lenovo/~%20Caryl%20consulting/~MDS%20Development%202016/W06-Monetary/W06-Draft%202-cjm%20Monetary%20Policy%20Stance%206-30-1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stisman/Downloads/MDSx%20Database%20February%20(1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milkov/Desktop/MDSx%20Database/MDSx%20Databas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~%20CJM%20Lenovo/~%20Caryl%20consulting/~MDS%20Development%202016/W05-Inflation/W5-Draft%202-cjm%20%20Inflation%207-11-16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ICE\ICE_mission%20SBA1%20may09\background%20notes\Tables%20background%20no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data\wrs\xl97\system\WRS97TA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DATA\SV\VULNERABILITIES\VULNERABILITIES%202005-09\working-files\Master%20Cross%20Country%20MS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Colombia\WEO\GEEColombiaOct20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Users\ipetrova\AppData\Local\Microsoft\Windows\Temporary%20Internet%20Files\Content.Outlook\0CUNTCM9\m&#225;na&#240;aryfirlit%20(17)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users1\ipetrova\My%20Documents\FAD\Iceland\ISL%20Data%20from%20Authorities\Fjarsysla\m&#225;na&#240;aryfirlitJune2010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WINDOWS\TEMP\CRI-BOP-0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DATA\CA\CRI\EXTERNAL\Output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DATA\CA\CRI\Dbase\Dinput\CRI-INPUT-ABOP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DATA\CA\CRI\EXTERNAL\Output\Other-2002\CRI-INPUT-ABOP-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CPLAZO\IMAE\PR\INF1-AL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ATA\S1\ECU\SECTORS\External\ecuredtab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4\users2\Users\ipetrova\AppData\Local\Microsoft\Windows\Temporary%20Internet%20Files\Content.Outlook\0CUNTCM9\m&#225;na&#240;aryfirlit%20(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DebtM"/>
      <sheetName val="finreq-m02"/>
      <sheetName val="BoP-m02"/>
      <sheetName val="Input"/>
      <sheetName val="Trade"/>
      <sheetName val="SER"/>
      <sheetName val="Input2"/>
      <sheetName val="DebtSer"/>
      <sheetName val="CAP"/>
      <sheetName val="RES"/>
      <sheetName val="BoP"/>
      <sheetName val="BoP M-T"/>
      <sheetName val="FinReqM-T"/>
      <sheetName val="DEBT"/>
      <sheetName val="Vulnerability Indicators"/>
      <sheetName val="BOP Main"/>
      <sheetName val="BOP Alt"/>
      <sheetName val="month-01"/>
      <sheetName val="FINREQ"/>
      <sheetName val="monthCAP"/>
      <sheetName val="OUTPUT"/>
      <sheetName val="finproj"/>
      <sheetName val="PC+Bond"/>
      <sheetName val="arr"/>
      <sheetName val="PC"/>
      <sheetName val="M-Ttab"/>
      <sheetName val="BondFin"/>
      <sheetName val="PCscen"/>
      <sheetName val="BoP med-t"/>
      <sheetName val="gaps"/>
      <sheetName val="month2000"/>
      <sheetName val="WEO"/>
      <sheetName val="SR_99"/>
      <sheetName val="BoPmonth99"/>
      <sheetName val="Chart1"/>
      <sheetName val="WEOQ5"/>
      <sheetName val="WEOQ6"/>
      <sheetName val="WEOQ7"/>
      <sheetName val="xxweolinksxx"/>
      <sheetName val="correlations with EMB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Execute Macros"/>
      <sheetName val="Annual Raw Data"/>
      <sheetName val="Quarterly Raw Data"/>
      <sheetName val="WEO Raw Data"/>
      <sheetName val="Annual Assumptions"/>
      <sheetName val="Quarterly Assumptions"/>
      <sheetName val="Annual MacroFlow"/>
      <sheetName val="Quarterly MacroFlow"/>
      <sheetName val="Annual Tables"/>
      <sheetName val="SEI Table"/>
      <sheetName val="Basic Data"/>
      <sheetName val="Program MFlows97"/>
      <sheetName val="WEO Submission Sheet"/>
      <sheetName val="SEI Chart"/>
      <sheetName val="Fiscal Chart"/>
      <sheetName val="Money Chart"/>
      <sheetName val="Macros Import"/>
      <sheetName val="Macros Pr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F1data"/>
      <sheetName val="F2data"/>
      <sheetName val="Execute_Macros"/>
      <sheetName val="Annual_Transfer"/>
      <sheetName val="Quarterly_Transfer"/>
      <sheetName val="Annual_Assumptions"/>
      <sheetName val="Quarterly_Assumptions"/>
      <sheetName val="Annual_MacroFlow"/>
      <sheetName val="Quarterly_MacroFlow"/>
      <sheetName val="Annual_Tables"/>
      <sheetName val="#REF"/>
      <sheetName val="MFLOW96.XLS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1. Inflation"/>
      <sheetName val="1a. Inflation Graphs"/>
      <sheetName val="1b. Real Interest Rate"/>
      <sheetName val="1c. Real IR Graphs"/>
      <sheetName val="2. Int Rate Rules"/>
      <sheetName val="2a. IR Rules-Graphs"/>
      <sheetName val="2b. MP Stance"/>
      <sheetName val="3. Yield Curves"/>
      <sheetName val="3a. Yield Curves-Graphs"/>
      <sheetName val="4. Summary"/>
      <sheetName val="Data In (Quarterly)"/>
      <sheetName val="Data-In (Annual)"/>
      <sheetName val="Documentation and Sources "/>
      <sheetName val="Workbook_Flow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Data List Real Sector"/>
      <sheetName val="Real Sector Data (Q)"/>
      <sheetName val="Real Sector Data (A)"/>
      <sheetName val="Data List Prices&amp;Money"/>
      <sheetName val="Prices&amp;Money Data (Q)"/>
      <sheetName val="Prices&amp;Money Data (A)"/>
      <sheetName val="Data List Fiscal Sector"/>
      <sheetName val="Fiscal Sector Data (A)"/>
      <sheetName val="Data List External Sector"/>
      <sheetName val="External Sector Data (Q)"/>
      <sheetName val="External Sector Data (A)"/>
      <sheetName val="Data List Financial Sector"/>
      <sheetName val="Financial Sector Data (Q)"/>
      <sheetName val="Data List Mod 1&amp;2&amp;3"/>
      <sheetName val="Data-In (Q) Mod 1&amp;2&amp;3"/>
      <sheetName val="Data-In (A) Mod 1&amp;2&amp;3"/>
      <sheetName val="Data List Mod 4"/>
      <sheetName val="Data-In (Q) Mod 4"/>
      <sheetName val="Data-In (A) Mod 4"/>
      <sheetName val="Data List Mod 5"/>
      <sheetName val="Data-In (Q) Mod 5"/>
      <sheetName val="Data List Mod 6"/>
      <sheetName val="Data-In Mod 6"/>
      <sheetName val="Data List Mod 7&amp;8"/>
      <sheetName val="Data-In (A) Mod 7&amp;8"/>
      <sheetName val="Data List Mod 9&amp;10&amp;11"/>
      <sheetName val="Data-In (Q) Mod 9&amp;10&amp;11"/>
      <sheetName val="Data-In (A) Mod 9&amp;10&amp;11"/>
    </sheetNames>
    <sheetDataSet>
      <sheetData sheetId="0"/>
      <sheetData sheetId="1"/>
      <sheetData sheetId="2">
        <row r="4">
          <cell r="C4" t="str">
            <v>1980_Q1 *Q</v>
          </cell>
        </row>
      </sheetData>
      <sheetData sheetId="3"/>
      <sheetData sheetId="4"/>
      <sheetData sheetId="5">
        <row r="4">
          <cell r="C4" t="str">
            <v>1980_Q1 *Q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Workbook Flowchart"/>
      <sheetName val="Real Sector Data List"/>
      <sheetName val="Real Sector Data In (Q)"/>
      <sheetName val="Real Sector Data In (A)"/>
      <sheetName val="Prices Data List"/>
      <sheetName val="Prices Data In (Q)"/>
      <sheetName val="Prices Data (M)"/>
      <sheetName val="Prices Data In (A)"/>
      <sheetName val="Fiscal Data List"/>
      <sheetName val="Fiscal Data In (Q)"/>
      <sheetName val="Fiscal Data In (A)"/>
      <sheetName val="BOP Data List"/>
      <sheetName val="BOP Data In (Q)"/>
      <sheetName val="BOP Data In (A)"/>
      <sheetName val="Data List Mod 1"/>
      <sheetName val="Mod 1 Data In (Q)"/>
      <sheetName val="Mod 1 Data In (A)"/>
      <sheetName val="Data List Mod 2"/>
      <sheetName val="Mod 2 Data In (Q)"/>
      <sheetName val="Mod 2 Data In (A)"/>
      <sheetName val="Data List Mod 3"/>
      <sheetName val="Mod 3 Data In (Q)"/>
      <sheetName val="Mod 3 Data In (A)"/>
      <sheetName val="Data List Mod 7"/>
      <sheetName val="Mod 7 Data In (A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Notes for further work"/>
      <sheetName val="1. Measuring Inflation"/>
      <sheetName val="1a. Measuring Inflation Charts"/>
      <sheetName val="1b. International Comparison "/>
      <sheetName val="1c. Int. Comparison Charts"/>
      <sheetName val="2. Core Inflation "/>
      <sheetName val="2a. Core Inflation Charts"/>
      <sheetName val="3. CPI Components"/>
      <sheetName val="3a.CPI Weights Charts"/>
      <sheetName val="4.1 Inflation, Money, &amp; ER's"/>
      <sheetName val="4.1a. Infl, Mon &amp; ER Charts "/>
      <sheetName val="4.2 CLI &amp; CU"/>
      <sheetName val="4.2a. CLI &amp; CU"/>
      <sheetName val="4.3 UR &amp; Output Gap"/>
      <sheetName val="4.3a UR &amp; Output Gap Graphs"/>
      <sheetName val="5. Summary"/>
      <sheetName val="DATA-IN (Quarterly)"/>
      <sheetName val="DATA-IN (Monthly)"/>
      <sheetName val="DATA-IN (Annual)"/>
      <sheetName val="Documentation and Sources"/>
      <sheetName val="Workbook_Flowchart"/>
      <sheetName val="5.4 Unit Labour Costs"/>
      <sheetName val="5.4a Unit Labour Costs Charts"/>
      <sheetName val="6. NK Phillips Curve"/>
      <sheetName val="6a. NK Phillips Curve 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>
        <row r="13">
          <cell r="C13" t="str">
            <v>Headline Inflation Rate (%)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1"/>
      <sheetName val="exch rates"/>
      <sheetName val="VAT rates OECD Countries"/>
      <sheetName val="Corporate OECD countries"/>
      <sheetName val="PIT OECD countries"/>
      <sheetName val="Dom GS OECD countries"/>
      <sheetName val="Soc Sec OECD countries"/>
      <sheetName val="Chart1"/>
      <sheetName val="Chart1 (2)"/>
      <sheetName val="Chart1 (3)"/>
      <sheetName val="Chart1 (4)"/>
      <sheetName val="Panel1"/>
      <sheetName val="series for tax graphs"/>
      <sheetName val="Chart2"/>
      <sheetName val="Chart2 (2)"/>
      <sheetName val="EDSS3"/>
      <sheetName val="Chart3"/>
      <sheetName val="Chart4"/>
      <sheetName val="EDSS1"/>
      <sheetName val="Table2"/>
      <sheetName val="Table2b"/>
      <sheetName val="Table3"/>
      <sheetName val="Table4"/>
      <sheetName val="Table5"/>
      <sheetName val="Table5b"/>
      <sheetName val="Table6"/>
      <sheetName val="Table7"/>
      <sheetName val="Table8"/>
    </sheetNames>
    <sheetDataSet>
      <sheetData sheetId="0"/>
      <sheetData sheetId="1">
        <row r="2">
          <cell r="G2">
            <v>71.66</v>
          </cell>
        </row>
      </sheetData>
      <sheetData sheetId="2">
        <row r="5">
          <cell r="B5" t="str">
            <v>Table 1. OECD Countries: VAT Rates, As at end of 2008</v>
          </cell>
        </row>
        <row r="8">
          <cell r="E8" t="str">
            <v xml:space="preserve">Current </v>
          </cell>
          <cell r="G8" t="str">
            <v xml:space="preserve">Current </v>
          </cell>
        </row>
        <row r="9">
          <cell r="C9" t="str">
            <v>Date VAT</v>
          </cell>
          <cell r="D9" t="str">
            <v xml:space="preserve">Standard Rate </v>
          </cell>
          <cell r="E9" t="str">
            <v xml:space="preserve">Standard </v>
          </cell>
          <cell r="G9" t="str">
            <v>Other Positive</v>
          </cell>
        </row>
        <row r="10">
          <cell r="C10" t="str">
            <v>Introduced</v>
          </cell>
          <cell r="D10" t="str">
            <v>at Introduction</v>
          </cell>
          <cell r="E10" t="str">
            <v>Rate</v>
          </cell>
          <cell r="G10" t="str">
            <v xml:space="preserve"> Rates</v>
          </cell>
        </row>
        <row r="13">
          <cell r="B13" t="str">
            <v>Canada</v>
          </cell>
          <cell r="C13" t="str">
            <v>Jan. 1991</v>
          </cell>
          <cell r="D13">
            <v>7</v>
          </cell>
          <cell r="E13">
            <v>6</v>
          </cell>
          <cell r="F13" t="str">
            <v>1/</v>
          </cell>
        </row>
        <row r="14">
          <cell r="B14" t="str">
            <v>Mexico</v>
          </cell>
          <cell r="C14" t="str">
            <v>Jan. 1980</v>
          </cell>
          <cell r="D14">
            <v>10</v>
          </cell>
          <cell r="E14">
            <v>15</v>
          </cell>
          <cell r="G14">
            <v>10</v>
          </cell>
        </row>
        <row r="17">
          <cell r="B17" t="str">
            <v>Australia</v>
          </cell>
          <cell r="C17" t="str">
            <v>Jul. 2000</v>
          </cell>
          <cell r="D17">
            <v>10</v>
          </cell>
          <cell r="E17">
            <v>10</v>
          </cell>
        </row>
        <row r="18">
          <cell r="B18" t="str">
            <v>Japan 2/</v>
          </cell>
          <cell r="C18" t="str">
            <v>Apr. 1989</v>
          </cell>
          <cell r="D18">
            <v>3</v>
          </cell>
          <cell r="E18">
            <v>5</v>
          </cell>
        </row>
        <row r="19">
          <cell r="B19" t="str">
            <v>Korea</v>
          </cell>
          <cell r="C19" t="str">
            <v>Jul. 1977</v>
          </cell>
          <cell r="D19">
            <v>13</v>
          </cell>
          <cell r="E19">
            <v>10</v>
          </cell>
        </row>
        <row r="20">
          <cell r="B20" t="str">
            <v>New Zealand</v>
          </cell>
          <cell r="C20" t="str">
            <v>May 1986</v>
          </cell>
          <cell r="D20">
            <v>10</v>
          </cell>
          <cell r="E20">
            <v>12.5</v>
          </cell>
        </row>
        <row r="23">
          <cell r="B23" t="str">
            <v>Austria 3/</v>
          </cell>
          <cell r="C23" t="str">
            <v>Jan. 1973</v>
          </cell>
          <cell r="D23">
            <v>8</v>
          </cell>
          <cell r="E23">
            <v>20</v>
          </cell>
          <cell r="G23" t="str">
            <v>10.0; 12.0</v>
          </cell>
        </row>
        <row r="24">
          <cell r="B24" t="str">
            <v>Belgium 3/</v>
          </cell>
          <cell r="C24" t="str">
            <v>Jan. 1971</v>
          </cell>
          <cell r="D24">
            <v>18</v>
          </cell>
          <cell r="E24">
            <v>21</v>
          </cell>
          <cell r="G24" t="str">
            <v xml:space="preserve"> 6.0; 12.0</v>
          </cell>
        </row>
        <row r="25">
          <cell r="B25" t="str">
            <v>Czech Republic 3/</v>
          </cell>
          <cell r="C25" t="str">
            <v>Jan. 1993</v>
          </cell>
          <cell r="D25">
            <v>23</v>
          </cell>
          <cell r="E25">
            <v>19</v>
          </cell>
          <cell r="G25">
            <v>9</v>
          </cell>
        </row>
        <row r="26">
          <cell r="B26" t="str">
            <v>Denmark 3/</v>
          </cell>
          <cell r="C26" t="str">
            <v>Jul. 1967</v>
          </cell>
          <cell r="D26">
            <v>10</v>
          </cell>
          <cell r="E26">
            <v>25</v>
          </cell>
          <cell r="F26" t="str">
            <v>4/</v>
          </cell>
        </row>
        <row r="27">
          <cell r="B27" t="str">
            <v>Finland 3/</v>
          </cell>
          <cell r="C27" t="str">
            <v>Jun. 1994</v>
          </cell>
          <cell r="D27">
            <v>22</v>
          </cell>
          <cell r="E27">
            <v>22</v>
          </cell>
          <cell r="G27" t="str">
            <v>8.0; 17.0</v>
          </cell>
        </row>
        <row r="28">
          <cell r="B28" t="str">
            <v>France 3/</v>
          </cell>
          <cell r="C28" t="str">
            <v>Jan. 1968</v>
          </cell>
          <cell r="D28">
            <v>13.6</v>
          </cell>
          <cell r="E28">
            <v>19.600000000000001</v>
          </cell>
          <cell r="G28" t="str">
            <v>2.1; 5.5</v>
          </cell>
        </row>
        <row r="29">
          <cell r="B29" t="str">
            <v>Germany 3/</v>
          </cell>
          <cell r="C29" t="str">
            <v>Jan. 1968</v>
          </cell>
          <cell r="D29">
            <v>10</v>
          </cell>
          <cell r="E29">
            <v>19</v>
          </cell>
          <cell r="G29">
            <v>7</v>
          </cell>
        </row>
        <row r="30">
          <cell r="B30" t="str">
            <v>Greece 3/</v>
          </cell>
          <cell r="C30" t="str">
            <v>Jan. 1987</v>
          </cell>
          <cell r="D30">
            <v>18</v>
          </cell>
          <cell r="E30">
            <v>19</v>
          </cell>
          <cell r="G30" t="str">
            <v>4.5; 9.0</v>
          </cell>
        </row>
        <row r="31">
          <cell r="B31" t="str">
            <v xml:space="preserve">Hungary 3/ </v>
          </cell>
          <cell r="C31" t="str">
            <v>Jan. 1988</v>
          </cell>
          <cell r="D31">
            <v>25</v>
          </cell>
          <cell r="E31">
            <v>20</v>
          </cell>
          <cell r="G31">
            <v>5</v>
          </cell>
        </row>
        <row r="32">
          <cell r="B32" t="str">
            <v xml:space="preserve">Iceland </v>
          </cell>
          <cell r="C32" t="str">
            <v>Jan. 1990</v>
          </cell>
          <cell r="D32">
            <v>24.5</v>
          </cell>
          <cell r="E32">
            <v>24.5</v>
          </cell>
          <cell r="G32">
            <v>14</v>
          </cell>
        </row>
        <row r="33">
          <cell r="B33" t="str">
            <v>Ireland 3/</v>
          </cell>
          <cell r="C33" t="str">
            <v>Nov. 1972</v>
          </cell>
          <cell r="D33">
            <v>16.37</v>
          </cell>
          <cell r="E33">
            <v>21</v>
          </cell>
          <cell r="G33" t="str">
            <v>4.8; 13.5</v>
          </cell>
        </row>
        <row r="34">
          <cell r="B34" t="str">
            <v>Italy 3/</v>
          </cell>
          <cell r="C34" t="str">
            <v>Jan. 1973</v>
          </cell>
          <cell r="D34">
            <v>12</v>
          </cell>
          <cell r="E34">
            <v>20</v>
          </cell>
          <cell r="G34" t="str">
            <v>4.0;10.0</v>
          </cell>
        </row>
        <row r="35">
          <cell r="B35" t="str">
            <v>Luxembourg 3/</v>
          </cell>
          <cell r="C35" t="str">
            <v>Jan. 1970</v>
          </cell>
          <cell r="D35">
            <v>8</v>
          </cell>
          <cell r="E35">
            <v>15</v>
          </cell>
          <cell r="G35" t="str">
            <v>3.0; 6.0; 12.0</v>
          </cell>
        </row>
        <row r="36">
          <cell r="B36" t="str">
            <v>Netherlands 3/</v>
          </cell>
          <cell r="C36" t="str">
            <v>Jan. 1969</v>
          </cell>
          <cell r="D36">
            <v>12</v>
          </cell>
          <cell r="E36">
            <v>19</v>
          </cell>
          <cell r="G36">
            <v>6</v>
          </cell>
        </row>
        <row r="37">
          <cell r="B37" t="str">
            <v>Norway</v>
          </cell>
          <cell r="C37" t="str">
            <v>Jan. 1970</v>
          </cell>
          <cell r="D37">
            <v>20</v>
          </cell>
          <cell r="E37">
            <v>25</v>
          </cell>
          <cell r="G37" t="str">
            <v>8.0; 14.0</v>
          </cell>
        </row>
        <row r="38">
          <cell r="B38" t="str">
            <v>Poland 3/</v>
          </cell>
          <cell r="C38" t="str">
            <v>Jul. 1993</v>
          </cell>
          <cell r="D38">
            <v>22</v>
          </cell>
          <cell r="E38">
            <v>22</v>
          </cell>
          <cell r="G38" t="str">
            <v>3.0; 7.0</v>
          </cell>
        </row>
        <row r="39">
          <cell r="B39" t="str">
            <v>Portugal 3/ 5/</v>
          </cell>
          <cell r="C39" t="str">
            <v>Jan. 1986</v>
          </cell>
          <cell r="D39">
            <v>17</v>
          </cell>
          <cell r="E39">
            <v>21</v>
          </cell>
          <cell r="G39" t="str">
            <v xml:space="preserve">5.0; 12.0 </v>
          </cell>
        </row>
        <row r="40">
          <cell r="B40" t="str">
            <v>Slovak Republic 3/</v>
          </cell>
          <cell r="C40" t="str">
            <v>Jan. 1993</v>
          </cell>
          <cell r="D40">
            <v>23</v>
          </cell>
          <cell r="E40">
            <v>19</v>
          </cell>
          <cell r="G40">
            <v>10</v>
          </cell>
        </row>
        <row r="41">
          <cell r="B41" t="str">
            <v>Spain 3/</v>
          </cell>
          <cell r="C41" t="str">
            <v>Jan. 1986</v>
          </cell>
          <cell r="D41">
            <v>12</v>
          </cell>
          <cell r="E41">
            <v>16</v>
          </cell>
          <cell r="G41" t="str">
            <v>4.0; 7.0</v>
          </cell>
        </row>
        <row r="42">
          <cell r="B42" t="str">
            <v>Sweden 3/</v>
          </cell>
          <cell r="C42" t="str">
            <v>Jan. 1969</v>
          </cell>
          <cell r="D42">
            <v>11.1</v>
          </cell>
          <cell r="E42">
            <v>25</v>
          </cell>
          <cell r="G42" t="str">
            <v>6.0; 12.0</v>
          </cell>
        </row>
        <row r="43">
          <cell r="B43" t="str">
            <v xml:space="preserve">Switzerland </v>
          </cell>
          <cell r="C43" t="str">
            <v>Jan. 1995</v>
          </cell>
          <cell r="D43">
            <v>6.5</v>
          </cell>
          <cell r="E43">
            <v>7.6</v>
          </cell>
          <cell r="G43" t="str">
            <v>2.4; 3.6 6/</v>
          </cell>
        </row>
        <row r="44">
          <cell r="B44" t="str">
            <v>Turkey 7/</v>
          </cell>
          <cell r="C44" t="str">
            <v>Jan. 1985</v>
          </cell>
          <cell r="D44">
            <v>10</v>
          </cell>
          <cell r="E44">
            <v>18</v>
          </cell>
          <cell r="G44" t="str">
            <v>1.0; 8.0; 26; 40</v>
          </cell>
        </row>
        <row r="45">
          <cell r="B45" t="str">
            <v>United Kingdom 3/</v>
          </cell>
          <cell r="C45" t="str">
            <v>Apr. 1973</v>
          </cell>
          <cell r="D45">
            <v>10</v>
          </cell>
          <cell r="E45">
            <v>17.5</v>
          </cell>
          <cell r="G45">
            <v>5</v>
          </cell>
        </row>
        <row r="47">
          <cell r="B47" t="str">
            <v xml:space="preserve">    Unweighted average</v>
          </cell>
        </row>
        <row r="48">
          <cell r="B48" t="str">
            <v xml:space="preserve">      OECD Total</v>
          </cell>
          <cell r="D48">
            <v>13.96793103448276</v>
          </cell>
          <cell r="E48">
            <v>17.713793103448278</v>
          </cell>
        </row>
        <row r="49">
          <cell r="B49" t="str">
            <v xml:space="preserve">      OECD America</v>
          </cell>
          <cell r="D49">
            <v>8.5</v>
          </cell>
          <cell r="E49">
            <v>10.5</v>
          </cell>
        </row>
        <row r="50">
          <cell r="B50" t="str">
            <v xml:space="preserve">      OECD Pacific</v>
          </cell>
          <cell r="D50">
            <v>9</v>
          </cell>
          <cell r="E50">
            <v>9.375</v>
          </cell>
        </row>
        <row r="51">
          <cell r="B51" t="str">
            <v xml:space="preserve">      OECD Europe</v>
          </cell>
          <cell r="D51">
            <v>15.307391304347828</v>
          </cell>
          <cell r="E51">
            <v>19.791304347826088</v>
          </cell>
        </row>
        <row r="52">
          <cell r="B52" t="str">
            <v xml:space="preserve">       EU</v>
          </cell>
          <cell r="D52">
            <v>15.319473684210529</v>
          </cell>
          <cell r="E52">
            <v>20.005263157894738</v>
          </cell>
        </row>
        <row r="55">
          <cell r="B55" t="str">
            <v xml:space="preserve">    Sources: International Bureau of Fiscal Documentation, IBFD, www.ibfd.org (2007); Worldwide Summaries</v>
          </cell>
        </row>
        <row r="56">
          <cell r="B56" t="str">
            <v xml:space="preserve"> (PricewaterhouseCoopers), www.pwc.com (2007); http://ec.europa.eu/index_en.htm; and Consumption Tax Trends (OECD, 2007).</v>
          </cell>
        </row>
        <row r="58">
          <cell r="B58" t="str">
            <v xml:space="preserve">   1/ Throughout Canada, the federal GST rate is 6 percent (14 percent in three provinces in which federal government collects a combined</v>
          </cell>
        </row>
        <row r="59">
          <cell r="B59" t="str">
            <v xml:space="preserve"> Harmonized Sales Tax (HST) that includes provincial tax). Five provinces levy a provincial retail sales tax. Quebec imposes a VAT called the </v>
          </cell>
        </row>
        <row r="60">
          <cell r="B60" t="str">
            <v xml:space="preserve"> Quebec Sales Tax (QST). Alberta and the territories have no provincial sales tax.</v>
          </cell>
        </row>
        <row r="61">
          <cell r="B61" t="str">
            <v xml:space="preserve">    2/ Including 1 percent local tax.</v>
          </cell>
        </row>
        <row r="62">
          <cell r="B62" t="str">
            <v xml:space="preserve">    3/ European Union countries.</v>
          </cell>
        </row>
        <row r="63">
          <cell r="B63" t="str">
            <v xml:space="preserve">    4/ The first sale of artists' products is subject to VAT at the standard rate of 25 percent, but only 20 percent of the taxable base is</v>
          </cell>
        </row>
        <row r="64">
          <cell r="B64" t="str">
            <v xml:space="preserve"> taken into account, therefore, the effective VAT rate is 5 percent.</v>
          </cell>
        </row>
        <row r="65">
          <cell r="B65" t="str">
            <v xml:space="preserve">    5/ The standard rate increased from 19 percent to 21 percent with effect from 1st July 2005. In the Azores and Madeira, </v>
          </cell>
        </row>
        <row r="66">
          <cell r="B66" t="str">
            <v xml:space="preserve">the rates are levied at 13 percent; 8 percent and 4 percent, respectively,  on the same supplies. </v>
          </cell>
        </row>
        <row r="67">
          <cell r="B67" t="str">
            <v xml:space="preserve">    6/ The reduced 3.6 percent rate applies to the supply of accommodation.</v>
          </cell>
        </row>
        <row r="68">
          <cell r="B68" t="str">
            <v xml:space="preserve">    7/ In Turkey 26 percent and 40 percent rates apply to luxury goods.</v>
          </cell>
        </row>
      </sheetData>
      <sheetData sheetId="3"/>
      <sheetData sheetId="4"/>
      <sheetData sheetId="5">
        <row r="5">
          <cell r="B5" t="str">
            <v>Table 9.  OECD Countries: Taxes on Goods and Services, 1992-2006 1/</v>
          </cell>
        </row>
        <row r="7">
          <cell r="B7" t="str">
            <v xml:space="preserve"> (In percent of GDP)</v>
          </cell>
        </row>
        <row r="10">
          <cell r="C10">
            <v>1990</v>
          </cell>
          <cell r="D10">
            <v>1991</v>
          </cell>
          <cell r="E10">
            <v>1992</v>
          </cell>
          <cell r="F10">
            <v>1993</v>
          </cell>
          <cell r="G10">
            <v>1994</v>
          </cell>
          <cell r="H10">
            <v>1995</v>
          </cell>
          <cell r="I10">
            <v>1996</v>
          </cell>
          <cell r="J10">
            <v>1997</v>
          </cell>
          <cell r="K10">
            <v>1998</v>
          </cell>
          <cell r="L10">
            <v>1999</v>
          </cell>
          <cell r="M10">
            <v>2000</v>
          </cell>
          <cell r="N10">
            <v>2001</v>
          </cell>
          <cell r="O10">
            <v>2002</v>
          </cell>
          <cell r="P10">
            <v>2003</v>
          </cell>
        </row>
        <row r="13">
          <cell r="B13" t="str">
            <v>Canada</v>
          </cell>
          <cell r="C13" t="str">
            <v>...</v>
          </cell>
          <cell r="D13" t="str">
            <v>...</v>
          </cell>
          <cell r="E13" t="str">
            <v>...</v>
          </cell>
          <cell r="F13" t="str">
            <v>...</v>
          </cell>
          <cell r="G13" t="str">
            <v>...</v>
          </cell>
          <cell r="H13" t="str">
            <v>...</v>
          </cell>
          <cell r="I13" t="str">
            <v>...</v>
          </cell>
          <cell r="J13" t="str">
            <v>...</v>
          </cell>
          <cell r="K13" t="str">
            <v>...</v>
          </cell>
          <cell r="L13" t="str">
            <v>...</v>
          </cell>
          <cell r="M13">
            <v>8.6189840578054344</v>
          </cell>
          <cell r="N13">
            <v>8.4472874821307364</v>
          </cell>
          <cell r="O13">
            <v>8.8021129234412196</v>
          </cell>
          <cell r="P13">
            <v>8.6376656294434024</v>
          </cell>
        </row>
        <row r="14">
          <cell r="B14" t="str">
            <v>Mexico 2/</v>
          </cell>
          <cell r="C14">
            <v>8.5919899072985935</v>
          </cell>
          <cell r="D14">
            <v>8.127608187533113</v>
          </cell>
          <cell r="E14">
            <v>7.6474165049589367</v>
          </cell>
          <cell r="F14">
            <v>7.2365301353127816</v>
          </cell>
          <cell r="G14">
            <v>7.1591256580697653</v>
          </cell>
          <cell r="H14">
            <v>8.3076437660077911</v>
          </cell>
          <cell r="I14">
            <v>8.6659076640720141</v>
          </cell>
          <cell r="J14">
            <v>8.7812486613381129</v>
          </cell>
          <cell r="K14">
            <v>7.6634733979720666</v>
          </cell>
          <cell r="L14">
            <v>7.9790642756604955</v>
          </cell>
          <cell r="M14">
            <v>9.1705888810173199</v>
          </cell>
          <cell r="N14" t="str">
            <v>...</v>
          </cell>
          <cell r="O14" t="str">
            <v>...</v>
          </cell>
          <cell r="P14" t="str">
            <v>...</v>
          </cell>
        </row>
        <row r="15">
          <cell r="B15" t="str">
            <v>United States</v>
          </cell>
          <cell r="C15" t="str">
            <v>...</v>
          </cell>
          <cell r="D15" t="str">
            <v>...</v>
          </cell>
          <cell r="E15" t="str">
            <v>...</v>
          </cell>
          <cell r="F15" t="str">
            <v>...</v>
          </cell>
          <cell r="G15" t="str">
            <v>...</v>
          </cell>
          <cell r="H15" t="str">
            <v>...</v>
          </cell>
          <cell r="I15" t="str">
            <v>...</v>
          </cell>
          <cell r="J15" t="str">
            <v>...</v>
          </cell>
          <cell r="K15" t="str">
            <v>...</v>
          </cell>
          <cell r="L15" t="str">
            <v>...</v>
          </cell>
          <cell r="M15">
            <v>4.3823071771090376</v>
          </cell>
          <cell r="N15">
            <v>4.4767203629559775</v>
          </cell>
          <cell r="O15">
            <v>4.4705623901581717</v>
          </cell>
          <cell r="P15">
            <v>4.502768599749345</v>
          </cell>
        </row>
        <row r="18">
          <cell r="B18" t="str">
            <v>Australia</v>
          </cell>
          <cell r="C18" t="str">
            <v>...</v>
          </cell>
          <cell r="D18" t="str">
            <v>...</v>
          </cell>
          <cell r="E18" t="str">
            <v>...</v>
          </cell>
          <cell r="F18" t="str">
            <v>...</v>
          </cell>
          <cell r="G18" t="str">
            <v>...</v>
          </cell>
          <cell r="H18" t="str">
            <v>...</v>
          </cell>
          <cell r="I18" t="str">
            <v>...</v>
          </cell>
          <cell r="J18" t="str">
            <v>...</v>
          </cell>
          <cell r="K18" t="str">
            <v>...</v>
          </cell>
          <cell r="L18">
            <v>7.4414742576674495</v>
          </cell>
          <cell r="M18">
            <v>7.094176885538678</v>
          </cell>
          <cell r="N18">
            <v>7.9634037133309601</v>
          </cell>
          <cell r="O18">
            <v>7.9864152951761911</v>
          </cell>
          <cell r="P18">
            <v>8.2285148314320882</v>
          </cell>
        </row>
        <row r="19">
          <cell r="B19" t="str">
            <v>Japan</v>
          </cell>
          <cell r="C19" t="str">
            <v>...</v>
          </cell>
          <cell r="D19" t="str">
            <v>...</v>
          </cell>
          <cell r="E19" t="str">
            <v>...</v>
          </cell>
          <cell r="F19" t="str">
            <v>...</v>
          </cell>
          <cell r="G19" t="str">
            <v>...</v>
          </cell>
          <cell r="H19" t="str">
            <v>...</v>
          </cell>
          <cell r="I19" t="str">
            <v>...</v>
          </cell>
          <cell r="J19" t="str">
            <v>...</v>
          </cell>
          <cell r="K19" t="str">
            <v>...</v>
          </cell>
          <cell r="L19" t="str">
            <v>...</v>
          </cell>
          <cell r="M19" t="str">
            <v>...</v>
          </cell>
          <cell r="N19">
            <v>2.459516872649405</v>
          </cell>
          <cell r="O19">
            <v>2.4904938244969288</v>
          </cell>
          <cell r="P19">
            <v>2.469212350140936</v>
          </cell>
        </row>
        <row r="20">
          <cell r="B20" t="str">
            <v>Korea 2/</v>
          </cell>
          <cell r="C20">
            <v>5.8278148533217209</v>
          </cell>
          <cell r="D20">
            <v>5.2900875899748501</v>
          </cell>
          <cell r="E20">
            <v>5.7602085075879899</v>
          </cell>
          <cell r="F20">
            <v>5.8697737271377441</v>
          </cell>
          <cell r="G20">
            <v>5.8684635266100207</v>
          </cell>
          <cell r="H20">
            <v>5.7650016535548163</v>
          </cell>
          <cell r="I20">
            <v>6.1253278002230953</v>
          </cell>
          <cell r="J20">
            <v>6.240649206694374</v>
          </cell>
          <cell r="K20">
            <v>5.610085295933013</v>
          </cell>
          <cell r="L20">
            <v>6.3470026517484346</v>
          </cell>
          <cell r="M20">
            <v>6.5703114671800318</v>
          </cell>
          <cell r="N20">
            <v>7.0432371368601627</v>
          </cell>
          <cell r="O20">
            <v>7.0217555079293277</v>
          </cell>
          <cell r="P20">
            <v>7.0247048676993131</v>
          </cell>
        </row>
        <row r="21">
          <cell r="B21" t="str">
            <v>New Zealand</v>
          </cell>
          <cell r="C21" t="str">
            <v>...</v>
          </cell>
          <cell r="D21" t="str">
            <v>...</v>
          </cell>
          <cell r="E21" t="str">
            <v>...</v>
          </cell>
          <cell r="F21" t="str">
            <v>...</v>
          </cell>
          <cell r="G21" t="str">
            <v>...</v>
          </cell>
          <cell r="H21" t="str">
            <v>...</v>
          </cell>
          <cell r="I21" t="str">
            <v>...</v>
          </cell>
          <cell r="J21" t="str">
            <v>...</v>
          </cell>
          <cell r="K21" t="str">
            <v>...</v>
          </cell>
          <cell r="L21" t="str">
            <v>...</v>
          </cell>
          <cell r="M21" t="str">
            <v>...</v>
          </cell>
          <cell r="N21" t="str">
            <v>...</v>
          </cell>
          <cell r="O21" t="str">
            <v>...</v>
          </cell>
          <cell r="P21">
            <v>10.556473587703726</v>
          </cell>
        </row>
        <row r="24">
          <cell r="B24" t="str">
            <v>Austria 3/</v>
          </cell>
          <cell r="C24" t="str">
            <v>...</v>
          </cell>
          <cell r="D24" t="str">
            <v>...</v>
          </cell>
          <cell r="E24" t="str">
            <v>...</v>
          </cell>
          <cell r="F24" t="str">
            <v>...</v>
          </cell>
          <cell r="G24" t="str">
            <v>...</v>
          </cell>
          <cell r="H24">
            <v>11.155905463362609</v>
          </cell>
          <cell r="I24">
            <v>11.599126417619443</v>
          </cell>
          <cell r="J24">
            <v>12.048643031296216</v>
          </cell>
          <cell r="K24">
            <v>12.159449684537504</v>
          </cell>
          <cell r="L24">
            <v>12.221573970892683</v>
          </cell>
          <cell r="M24">
            <v>11.970019815363964</v>
          </cell>
          <cell r="N24">
            <v>12.09346116485291</v>
          </cell>
          <cell r="O24">
            <v>12.509883812282959</v>
          </cell>
          <cell r="P24">
            <v>12.390303968166243</v>
          </cell>
        </row>
        <row r="25">
          <cell r="B25" t="str">
            <v>Belgium 3/</v>
          </cell>
          <cell r="C25" t="str">
            <v>...</v>
          </cell>
          <cell r="D25" t="str">
            <v>...</v>
          </cell>
          <cell r="E25" t="str">
            <v>...</v>
          </cell>
          <cell r="F25" t="str">
            <v>...</v>
          </cell>
          <cell r="G25" t="str">
            <v>...</v>
          </cell>
          <cell r="H25">
            <v>10.512134885378241</v>
          </cell>
          <cell r="I25">
            <v>10.760191608384996</v>
          </cell>
          <cell r="J25">
            <v>10.855264943501036</v>
          </cell>
          <cell r="K25">
            <v>10.698351875639545</v>
          </cell>
          <cell r="L25">
            <v>11.273039005572224</v>
          </cell>
          <cell r="M25">
            <v>11.052725562790918</v>
          </cell>
          <cell r="N25">
            <v>10.715190557847091</v>
          </cell>
          <cell r="O25">
            <v>10.907816215731144</v>
          </cell>
          <cell r="P25">
            <v>10.847758867469617</v>
          </cell>
        </row>
        <row r="26">
          <cell r="B26" t="str">
            <v>Czech Republic 3/</v>
          </cell>
          <cell r="C26" t="str">
            <v>...</v>
          </cell>
          <cell r="D26" t="str">
            <v>...</v>
          </cell>
          <cell r="E26" t="str">
            <v>...</v>
          </cell>
          <cell r="F26" t="str">
            <v>...</v>
          </cell>
          <cell r="G26" t="str">
            <v>...</v>
          </cell>
          <cell r="H26" t="str">
            <v>...</v>
          </cell>
          <cell r="I26" t="str">
            <v>...</v>
          </cell>
          <cell r="J26" t="str">
            <v>...</v>
          </cell>
          <cell r="K26" t="str">
            <v>...</v>
          </cell>
          <cell r="L26" t="str">
            <v>...</v>
          </cell>
          <cell r="M26">
            <v>10.688073876434391</v>
          </cell>
          <cell r="N26">
            <v>10.436550415906035</v>
          </cell>
          <cell r="O26">
            <v>10.372369779324405</v>
          </cell>
          <cell r="P26">
            <v>10.549025846781861</v>
          </cell>
        </row>
        <row r="27">
          <cell r="B27" t="str">
            <v xml:space="preserve">Denmark 3/ </v>
          </cell>
          <cell r="C27" t="str">
            <v>...</v>
          </cell>
          <cell r="D27" t="str">
            <v>...</v>
          </cell>
          <cell r="E27" t="str">
            <v>...</v>
          </cell>
          <cell r="F27" t="str">
            <v>...</v>
          </cell>
          <cell r="G27" t="str">
            <v>...</v>
          </cell>
          <cell r="H27" t="str">
            <v>...</v>
          </cell>
          <cell r="I27" t="str">
            <v>...</v>
          </cell>
          <cell r="J27" t="str">
            <v>...</v>
          </cell>
          <cell r="K27">
            <v>15.734014485878504</v>
          </cell>
          <cell r="L27">
            <v>15.874485876488395</v>
          </cell>
          <cell r="M27">
            <v>15.871976345555208</v>
          </cell>
          <cell r="N27">
            <v>15.91134544414504</v>
          </cell>
          <cell r="O27">
            <v>16.024781877373449</v>
          </cell>
          <cell r="P27">
            <v>15.84221122604661</v>
          </cell>
        </row>
        <row r="28">
          <cell r="B28" t="str">
            <v xml:space="preserve">Finland 3/ </v>
          </cell>
          <cell r="C28" t="str">
            <v>...</v>
          </cell>
          <cell r="D28" t="str">
            <v>...</v>
          </cell>
          <cell r="E28" t="str">
            <v>...</v>
          </cell>
          <cell r="F28" t="str">
            <v>...</v>
          </cell>
          <cell r="G28" t="str">
            <v>...</v>
          </cell>
          <cell r="H28" t="str">
            <v>...</v>
          </cell>
          <cell r="I28" t="str">
            <v>...</v>
          </cell>
          <cell r="J28" t="str">
            <v>...</v>
          </cell>
          <cell r="K28">
            <v>13.677622085030441</v>
          </cell>
          <cell r="L28">
            <v>13.764140875133405</v>
          </cell>
          <cell r="M28">
            <v>13.272650296359018</v>
          </cell>
          <cell r="N28">
            <v>12.867846827008321</v>
          </cell>
          <cell r="O28">
            <v>13.246141664467196</v>
          </cell>
          <cell r="P28">
            <v>13.80312187367238</v>
          </cell>
        </row>
        <row r="29">
          <cell r="B29" t="str">
            <v>France 3/</v>
          </cell>
          <cell r="C29" t="str">
            <v>...</v>
          </cell>
          <cell r="D29" t="str">
            <v>...</v>
          </cell>
          <cell r="E29" t="str">
            <v>...</v>
          </cell>
          <cell r="F29" t="str">
            <v>...</v>
          </cell>
          <cell r="G29" t="str">
            <v>...</v>
          </cell>
          <cell r="H29">
            <v>11.290054095561853</v>
          </cell>
          <cell r="I29">
            <v>11.832531438434103</v>
          </cell>
          <cell r="J29">
            <v>11.729233362346035</v>
          </cell>
          <cell r="K29">
            <v>11.619599710605057</v>
          </cell>
          <cell r="L29">
            <v>11.730321102729174</v>
          </cell>
          <cell r="M29">
            <v>11.115238904514435</v>
          </cell>
          <cell r="N29">
            <v>10.844422601272482</v>
          </cell>
          <cell r="O29">
            <v>10.961506323126983</v>
          </cell>
          <cell r="P29">
            <v>10.963663126787095</v>
          </cell>
        </row>
        <row r="30">
          <cell r="B30" t="str">
            <v xml:space="preserve">Germany 3/ </v>
          </cell>
          <cell r="C30" t="str">
            <v>...</v>
          </cell>
          <cell r="D30" t="str">
            <v>...</v>
          </cell>
          <cell r="E30" t="str">
            <v>...</v>
          </cell>
          <cell r="F30" t="str">
            <v>...</v>
          </cell>
          <cell r="G30" t="str">
            <v>...</v>
          </cell>
          <cell r="H30">
            <v>9.7324785631204538</v>
          </cell>
          <cell r="I30">
            <v>9.6872368322868798</v>
          </cell>
          <cell r="J30">
            <v>9.5876966767245424</v>
          </cell>
          <cell r="K30">
            <v>9.7701207908903118</v>
          </cell>
          <cell r="L30">
            <v>10.292246520874752</v>
          </cell>
          <cell r="M30">
            <v>10.222545454545456</v>
          </cell>
          <cell r="N30">
            <v>10.274186526339701</v>
          </cell>
          <cell r="O30">
            <v>10.272119000737224</v>
          </cell>
          <cell r="P30">
            <v>10.372030686754782</v>
          </cell>
        </row>
        <row r="31">
          <cell r="B31" t="str">
            <v xml:space="preserve">Greece 3/ </v>
          </cell>
          <cell r="C31" t="str">
            <v>...</v>
          </cell>
          <cell r="D31" t="str">
            <v>...</v>
          </cell>
          <cell r="E31" t="str">
            <v>...</v>
          </cell>
          <cell r="F31" t="str">
            <v>...</v>
          </cell>
          <cell r="G31" t="str">
            <v>...</v>
          </cell>
          <cell r="H31">
            <v>11.82724600930193</v>
          </cell>
          <cell r="I31">
            <v>12.094467345340416</v>
          </cell>
          <cell r="J31">
            <v>12.181334035249266</v>
          </cell>
          <cell r="K31">
            <v>12.333653347679054</v>
          </cell>
          <cell r="L31">
            <v>12.549909933374856</v>
          </cell>
          <cell r="M31">
            <v>12.237949337038771</v>
          </cell>
          <cell r="N31">
            <v>12.445652053878842</v>
          </cell>
          <cell r="O31">
            <v>12.11909679375143</v>
          </cell>
          <cell r="P31">
            <v>11.379906308021305</v>
          </cell>
        </row>
        <row r="32">
          <cell r="B32" t="str">
            <v>Hungary 3/</v>
          </cell>
          <cell r="C32" t="str">
            <v>...</v>
          </cell>
          <cell r="D32" t="str">
            <v>...</v>
          </cell>
          <cell r="E32" t="str">
            <v>...</v>
          </cell>
          <cell r="F32" t="str">
            <v>...</v>
          </cell>
          <cell r="G32" t="str">
            <v>...</v>
          </cell>
          <cell r="H32" t="str">
            <v>...</v>
          </cell>
          <cell r="I32">
            <v>13.04130874362121</v>
          </cell>
          <cell r="J32">
            <v>13.206575128180811</v>
          </cell>
          <cell r="K32">
            <v>14.028350134771689</v>
          </cell>
          <cell r="L32">
            <v>14.560068951655728</v>
          </cell>
          <cell r="M32">
            <v>14.495819593911854</v>
          </cell>
          <cell r="N32">
            <v>13.909508301501036</v>
          </cell>
          <cell r="O32">
            <v>13.573216302108193</v>
          </cell>
          <cell r="P32">
            <v>14.196594219655619</v>
          </cell>
        </row>
        <row r="33">
          <cell r="B33" t="str">
            <v>Iceland</v>
          </cell>
          <cell r="C33" t="str">
            <v>...</v>
          </cell>
          <cell r="D33" t="str">
            <v>...</v>
          </cell>
          <cell r="E33" t="str">
            <v>...</v>
          </cell>
          <cell r="F33" t="str">
            <v>...</v>
          </cell>
          <cell r="G33" t="str">
            <v>...</v>
          </cell>
          <cell r="H33" t="str">
            <v>...</v>
          </cell>
          <cell r="I33" t="str">
            <v>...</v>
          </cell>
          <cell r="J33" t="str">
            <v>...</v>
          </cell>
          <cell r="K33">
            <v>15.757766836005418</v>
          </cell>
          <cell r="L33">
            <v>16.574219756830736</v>
          </cell>
          <cell r="M33">
            <v>15.710969893306617</v>
          </cell>
          <cell r="N33">
            <v>13.89244351389625</v>
          </cell>
          <cell r="O33">
            <v>14.097073855562197</v>
          </cell>
          <cell r="P33">
            <v>14.786477824111651</v>
          </cell>
        </row>
        <row r="34">
          <cell r="B34" t="str">
            <v>Ireland  2/ 3/</v>
          </cell>
          <cell r="C34" t="str">
            <v>...</v>
          </cell>
          <cell r="D34" t="str">
            <v>...</v>
          </cell>
          <cell r="E34" t="str">
            <v>...</v>
          </cell>
          <cell r="F34" t="str">
            <v>...</v>
          </cell>
          <cell r="G34" t="str">
            <v>...</v>
          </cell>
          <cell r="H34" t="str">
            <v>...</v>
          </cell>
          <cell r="I34" t="str">
            <v>...</v>
          </cell>
          <cell r="J34" t="str">
            <v>...</v>
          </cell>
          <cell r="K34" t="str">
            <v>...</v>
          </cell>
          <cell r="L34" t="str">
            <v>...</v>
          </cell>
          <cell r="M34" t="str">
            <v>...</v>
          </cell>
          <cell r="N34" t="str">
            <v>...</v>
          </cell>
          <cell r="O34" t="str">
            <v>...</v>
          </cell>
          <cell r="P34" t="str">
            <v>...</v>
          </cell>
        </row>
        <row r="35">
          <cell r="B35" t="str">
            <v>Italy 3/</v>
          </cell>
          <cell r="C35" t="str">
            <v>...</v>
          </cell>
          <cell r="D35" t="str">
            <v>...</v>
          </cell>
          <cell r="E35" t="str">
            <v>...</v>
          </cell>
          <cell r="F35" t="str">
            <v>...</v>
          </cell>
          <cell r="G35" t="str">
            <v>...</v>
          </cell>
          <cell r="H35">
            <v>9.7525837380020484</v>
          </cell>
          <cell r="I35">
            <v>9.4722177502267435</v>
          </cell>
          <cell r="J35">
            <v>10.026063952271551</v>
          </cell>
          <cell r="K35">
            <v>12.815185435806562</v>
          </cell>
          <cell r="L35">
            <v>12.683091899137523</v>
          </cell>
          <cell r="M35">
            <v>12.599729457354409</v>
          </cell>
          <cell r="N35">
            <v>12.251650376638532</v>
          </cell>
          <cell r="O35">
            <v>12.278168797630208</v>
          </cell>
          <cell r="P35">
            <v>12.00056564664453</v>
          </cell>
        </row>
        <row r="36">
          <cell r="B36" t="str">
            <v>Luxembourg 3/</v>
          </cell>
          <cell r="C36" t="str">
            <v>...</v>
          </cell>
          <cell r="D36" t="str">
            <v>...</v>
          </cell>
          <cell r="E36" t="str">
            <v>...</v>
          </cell>
          <cell r="F36" t="str">
            <v>...</v>
          </cell>
          <cell r="G36" t="str">
            <v>...</v>
          </cell>
          <cell r="H36" t="str">
            <v>...</v>
          </cell>
          <cell r="I36" t="str">
            <v>...</v>
          </cell>
          <cell r="J36" t="str">
            <v>...</v>
          </cell>
          <cell r="K36" t="str">
            <v>...</v>
          </cell>
          <cell r="L36">
            <v>11.78927730957218</v>
          </cell>
          <cell r="M36">
            <v>12.458614765051863</v>
          </cell>
          <cell r="N36">
            <v>11.974721229117105</v>
          </cell>
          <cell r="O36">
            <v>11.75581332344127</v>
          </cell>
          <cell r="P36">
            <v>11.517671113598906</v>
          </cell>
        </row>
        <row r="37">
          <cell r="B37" t="str">
            <v>Netherlands 3/</v>
          </cell>
          <cell r="C37" t="str">
            <v>...</v>
          </cell>
          <cell r="D37" t="str">
            <v>...</v>
          </cell>
          <cell r="E37" t="str">
            <v>...</v>
          </cell>
          <cell r="F37" t="str">
            <v>...</v>
          </cell>
          <cell r="G37" t="str">
            <v>...</v>
          </cell>
          <cell r="H37">
            <v>10.656454640455216</v>
          </cell>
          <cell r="I37">
            <v>11.07285265281231</v>
          </cell>
          <cell r="J37">
            <v>10.98449320207926</v>
          </cell>
          <cell r="K37">
            <v>11.132691798357905</v>
          </cell>
          <cell r="L37">
            <v>11.478716600249097</v>
          </cell>
          <cell r="M37">
            <v>11.290554120011484</v>
          </cell>
          <cell r="N37">
            <v>11.635557957791621</v>
          </cell>
          <cell r="O37">
            <v>11.515990490397968</v>
          </cell>
          <cell r="P37">
            <v>11.656270639172231</v>
          </cell>
        </row>
        <row r="38">
          <cell r="B38" t="str">
            <v xml:space="preserve">Norway </v>
          </cell>
          <cell r="C38" t="str">
            <v>...</v>
          </cell>
          <cell r="D38" t="str">
            <v>...</v>
          </cell>
          <cell r="E38" t="str">
            <v>...</v>
          </cell>
          <cell r="F38" t="str">
            <v>...</v>
          </cell>
          <cell r="G38" t="str">
            <v>...</v>
          </cell>
          <cell r="H38" t="str">
            <v>...</v>
          </cell>
          <cell r="I38" t="str">
            <v>...</v>
          </cell>
          <cell r="J38" t="str">
            <v>...</v>
          </cell>
          <cell r="K38" t="str">
            <v>...</v>
          </cell>
          <cell r="L38" t="str">
            <v>...</v>
          </cell>
          <cell r="M38">
            <v>13.507592619972039</v>
          </cell>
          <cell r="N38">
            <v>13.460317212444888</v>
          </cell>
          <cell r="O38">
            <v>13.552758322739292</v>
          </cell>
          <cell r="P38">
            <v>12.823239690681223</v>
          </cell>
        </row>
        <row r="39">
          <cell r="B39" t="str">
            <v>Poland 3/</v>
          </cell>
          <cell r="C39" t="str">
            <v>...</v>
          </cell>
          <cell r="D39" t="str">
            <v>...</v>
          </cell>
          <cell r="E39" t="str">
            <v>...</v>
          </cell>
          <cell r="F39" t="str">
            <v>...</v>
          </cell>
          <cell r="G39" t="str">
            <v>...</v>
          </cell>
          <cell r="H39" t="str">
            <v>...</v>
          </cell>
          <cell r="I39" t="str">
            <v>...</v>
          </cell>
          <cell r="J39" t="str">
            <v>...</v>
          </cell>
          <cell r="K39" t="str">
            <v>...</v>
          </cell>
          <cell r="L39" t="str">
            <v>...</v>
          </cell>
          <cell r="M39" t="str">
            <v>...</v>
          </cell>
          <cell r="N39">
            <v>10.783707504810776</v>
          </cell>
          <cell r="O39">
            <v>11.542418995795202</v>
          </cell>
          <cell r="P39">
            <v>11.814256909026213</v>
          </cell>
        </row>
        <row r="40">
          <cell r="B40" t="str">
            <v>Portugal 3/</v>
          </cell>
          <cell r="C40" t="str">
            <v>...</v>
          </cell>
          <cell r="D40" t="str">
            <v>...</v>
          </cell>
          <cell r="E40" t="str">
            <v>...</v>
          </cell>
          <cell r="F40" t="str">
            <v>...</v>
          </cell>
          <cell r="G40" t="str">
            <v>...</v>
          </cell>
          <cell r="H40" t="str">
            <v>...</v>
          </cell>
          <cell r="I40" t="str">
            <v>...</v>
          </cell>
          <cell r="J40">
            <v>12.348306710440029</v>
          </cell>
          <cell r="K40">
            <v>12.786143135888764</v>
          </cell>
          <cell r="L40">
            <v>13.036332445068732</v>
          </cell>
          <cell r="M40">
            <v>12.789679914091975</v>
          </cell>
          <cell r="N40">
            <v>12.619746760262101</v>
          </cell>
          <cell r="O40">
            <v>13.347322968598633</v>
          </cell>
          <cell r="P40">
            <v>13.602194803217449</v>
          </cell>
        </row>
        <row r="41">
          <cell r="B41" t="str">
            <v>Slovak Republic 3/</v>
          </cell>
          <cell r="C41" t="str">
            <v>...</v>
          </cell>
          <cell r="D41" t="str">
            <v>...</v>
          </cell>
          <cell r="E41" t="str">
            <v>...</v>
          </cell>
          <cell r="F41" t="str">
            <v>...</v>
          </cell>
          <cell r="G41" t="str">
            <v>...</v>
          </cell>
          <cell r="H41" t="str">
            <v>...</v>
          </cell>
          <cell r="I41" t="str">
            <v>...</v>
          </cell>
          <cell r="J41" t="str">
            <v>...</v>
          </cell>
          <cell r="K41" t="str">
            <v>...</v>
          </cell>
          <cell r="L41" t="str">
            <v>...</v>
          </cell>
          <cell r="M41">
            <v>10.887411457156137</v>
          </cell>
          <cell r="N41">
            <v>10.347299274373301</v>
          </cell>
          <cell r="O41">
            <v>10.793084123788372</v>
          </cell>
          <cell r="P41">
            <v>10.511393614471531</v>
          </cell>
        </row>
        <row r="42">
          <cell r="B42" t="str">
            <v xml:space="preserve">Spain 3/ </v>
          </cell>
          <cell r="C42" t="str">
            <v>...</v>
          </cell>
          <cell r="D42" t="str">
            <v>...</v>
          </cell>
          <cell r="E42" t="str">
            <v>...</v>
          </cell>
          <cell r="F42" t="str">
            <v>...</v>
          </cell>
          <cell r="G42" t="str">
            <v>...</v>
          </cell>
          <cell r="H42">
            <v>8.7660021690276277</v>
          </cell>
          <cell r="I42">
            <v>8.8514418967827702</v>
          </cell>
          <cell r="J42">
            <v>9.0079595809660642</v>
          </cell>
          <cell r="K42">
            <v>9.5308002142752546</v>
          </cell>
          <cell r="L42">
            <v>9.9516848236547784</v>
          </cell>
          <cell r="M42">
            <v>9.9109419401107157</v>
          </cell>
          <cell r="N42">
            <v>9.5710453400873838</v>
          </cell>
          <cell r="O42">
            <v>9.6204639018329523</v>
          </cell>
          <cell r="P42">
            <v>9.6679264658736628</v>
          </cell>
        </row>
        <row r="43">
          <cell r="B43" t="str">
            <v xml:space="preserve">Sweden 3/ </v>
          </cell>
          <cell r="C43" t="str">
            <v>...</v>
          </cell>
          <cell r="D43" t="str">
            <v>...</v>
          </cell>
          <cell r="E43" t="str">
            <v>...</v>
          </cell>
          <cell r="F43" t="str">
            <v>...</v>
          </cell>
          <cell r="G43" t="str">
            <v>...</v>
          </cell>
          <cell r="H43" t="str">
            <v>...</v>
          </cell>
          <cell r="I43" t="str">
            <v>...</v>
          </cell>
          <cell r="J43" t="str">
            <v>...</v>
          </cell>
          <cell r="K43">
            <v>10.419508859191758</v>
          </cell>
          <cell r="L43">
            <v>10.472365206492933</v>
          </cell>
          <cell r="M43">
            <v>10.027169045865598</v>
          </cell>
          <cell r="N43">
            <v>12.323229196758973</v>
          </cell>
          <cell r="O43">
            <v>12.584472403512779</v>
          </cell>
          <cell r="P43">
            <v>12.691091982585531</v>
          </cell>
        </row>
        <row r="44">
          <cell r="B44" t="str">
            <v>Switzerland</v>
          </cell>
          <cell r="C44" t="str">
            <v>...</v>
          </cell>
          <cell r="D44" t="str">
            <v>...</v>
          </cell>
          <cell r="E44" t="str">
            <v>...</v>
          </cell>
          <cell r="F44" t="str">
            <v>...</v>
          </cell>
          <cell r="G44" t="str">
            <v>...</v>
          </cell>
          <cell r="H44" t="str">
            <v>...</v>
          </cell>
          <cell r="I44" t="str">
            <v>...</v>
          </cell>
          <cell r="J44" t="str">
            <v>...</v>
          </cell>
          <cell r="K44">
            <v>5.9406090175970023</v>
          </cell>
          <cell r="L44">
            <v>6.3468676847490384</v>
          </cell>
          <cell r="M44">
            <v>6.4945318323476355</v>
          </cell>
          <cell r="N44">
            <v>6.594384208310121</v>
          </cell>
          <cell r="O44">
            <v>6.5058849494923017</v>
          </cell>
          <cell r="P44">
            <v>6.5709912084973912</v>
          </cell>
        </row>
        <row r="45">
          <cell r="B45" t="str">
            <v>Turkey 2/</v>
          </cell>
          <cell r="C45">
            <v>4.3886429552740038</v>
          </cell>
          <cell r="D45">
            <v>4.9419158255570368</v>
          </cell>
          <cell r="E45">
            <v>5.4364030474587741</v>
          </cell>
          <cell r="F45">
            <v>5.7874633553159391</v>
          </cell>
          <cell r="G45">
            <v>7.0139565663589618</v>
          </cell>
          <cell r="H45">
            <v>7.1007129183274387</v>
          </cell>
          <cell r="I45">
            <v>8.498515107185094</v>
          </cell>
          <cell r="J45">
            <v>9.4317912267633233</v>
          </cell>
          <cell r="K45">
            <v>8.6794913159323279</v>
          </cell>
          <cell r="L45" t="str">
            <v>...</v>
          </cell>
          <cell r="M45" t="str">
            <v>...</v>
          </cell>
          <cell r="N45" t="str">
            <v>...</v>
          </cell>
          <cell r="O45" t="str">
            <v>...</v>
          </cell>
          <cell r="P45" t="str">
            <v>...</v>
          </cell>
        </row>
        <row r="46">
          <cell r="B46" t="str">
            <v>United Kingdom 3/</v>
          </cell>
          <cell r="C46" t="str">
            <v>...</v>
          </cell>
          <cell r="D46" t="str">
            <v>...</v>
          </cell>
          <cell r="E46" t="str">
            <v>...</v>
          </cell>
          <cell r="F46" t="str">
            <v>...</v>
          </cell>
          <cell r="G46" t="str">
            <v>...</v>
          </cell>
          <cell r="H46" t="str">
            <v>...</v>
          </cell>
          <cell r="I46" t="str">
            <v>...</v>
          </cell>
          <cell r="J46" t="str">
            <v>...</v>
          </cell>
          <cell r="K46">
            <v>11.424719936782411</v>
          </cell>
          <cell r="L46">
            <v>11.714220079121926</v>
          </cell>
          <cell r="M46">
            <v>11.521577724271584</v>
          </cell>
          <cell r="N46">
            <v>13.040677877679437</v>
          </cell>
          <cell r="O46">
            <v>13.079709592009584</v>
          </cell>
          <cell r="P46">
            <v>13.644760601816227</v>
          </cell>
        </row>
        <row r="49">
          <cell r="B49" t="str">
            <v xml:space="preserve">  Unweighted average 4/</v>
          </cell>
        </row>
        <row r="50">
          <cell r="B50" t="str">
            <v xml:space="preserve">    Total </v>
          </cell>
          <cell r="C50">
            <v>6.2694825719647724</v>
          </cell>
          <cell r="D50">
            <v>6.1198705343549991</v>
          </cell>
          <cell r="E50">
            <v>6.2813426866685669</v>
          </cell>
          <cell r="F50">
            <v>6.2979224059221552</v>
          </cell>
          <cell r="G50">
            <v>6.6805152503462493</v>
          </cell>
          <cell r="H50">
            <v>9.5332925365545478</v>
          </cell>
          <cell r="I50">
            <v>10.141760438082423</v>
          </cell>
          <cell r="J50">
            <v>10.494558439834664</v>
          </cell>
          <cell r="K50">
            <v>11.146401966251295</v>
          </cell>
          <cell r="L50">
            <v>11.404005161333725</v>
          </cell>
          <cell r="M50">
            <v>10.958485616988185</v>
          </cell>
          <cell r="N50">
            <v>10.70704268895574</v>
          </cell>
          <cell r="O50">
            <v>10.824285901342522</v>
          </cell>
          <cell r="P50">
            <v>10.853733203304477</v>
          </cell>
        </row>
        <row r="51">
          <cell r="B51" t="str">
            <v xml:space="preserve">    America</v>
          </cell>
          <cell r="C51">
            <v>8.5919899072985935</v>
          </cell>
          <cell r="D51">
            <v>8.127608187533113</v>
          </cell>
          <cell r="E51">
            <v>7.6474165049589367</v>
          </cell>
          <cell r="F51">
            <v>7.2365301353127816</v>
          </cell>
          <cell r="G51">
            <v>7.1591256580697653</v>
          </cell>
          <cell r="H51">
            <v>8.3076437660077911</v>
          </cell>
          <cell r="I51">
            <v>8.6659076640720141</v>
          </cell>
          <cell r="J51">
            <v>8.7812486613381129</v>
          </cell>
          <cell r="K51">
            <v>7.6634733979720666</v>
          </cell>
          <cell r="L51">
            <v>7.9790642756604955</v>
          </cell>
          <cell r="M51">
            <v>7.3906267053105976</v>
          </cell>
          <cell r="N51">
            <v>6.4620039225433565</v>
          </cell>
          <cell r="O51">
            <v>6.6363376567996957</v>
          </cell>
          <cell r="P51">
            <v>6.5702171145963737</v>
          </cell>
        </row>
        <row r="52">
          <cell r="B52" t="str">
            <v xml:space="preserve">    Pacific</v>
          </cell>
          <cell r="C52">
            <v>5.8278148533217209</v>
          </cell>
          <cell r="D52">
            <v>5.2900875899748501</v>
          </cell>
          <cell r="E52">
            <v>5.7602085075879899</v>
          </cell>
          <cell r="F52">
            <v>5.8697737271377441</v>
          </cell>
          <cell r="G52">
            <v>5.8684635266100207</v>
          </cell>
          <cell r="H52">
            <v>5.7650016535548163</v>
          </cell>
          <cell r="I52">
            <v>6.1253278002230953</v>
          </cell>
          <cell r="J52">
            <v>6.240649206694374</v>
          </cell>
          <cell r="K52">
            <v>5.610085295933013</v>
          </cell>
          <cell r="L52">
            <v>6.8942384547079421</v>
          </cell>
          <cell r="M52">
            <v>6.8322441763593549</v>
          </cell>
          <cell r="N52">
            <v>5.8220525742801756</v>
          </cell>
          <cell r="O52">
            <v>5.8328882092008163</v>
          </cell>
          <cell r="P52">
            <v>7.0697264092440157</v>
          </cell>
        </row>
        <row r="53">
          <cell r="B53" t="str">
            <v xml:space="preserve">    Europe</v>
          </cell>
          <cell r="C53">
            <v>4.3886429552740038</v>
          </cell>
          <cell r="D53">
            <v>4.9419158255570368</v>
          </cell>
          <cell r="E53">
            <v>5.4364030474587741</v>
          </cell>
          <cell r="F53">
            <v>5.7874633553159391</v>
          </cell>
          <cell r="G53">
            <v>7.0139565663589618</v>
          </cell>
          <cell r="H53">
            <v>10.088174720281934</v>
          </cell>
          <cell r="I53">
            <v>10.690988979269399</v>
          </cell>
          <cell r="J53">
            <v>11.037032895438012</v>
          </cell>
          <cell r="K53">
            <v>11.676945803815855</v>
          </cell>
          <cell r="L53">
            <v>12.13603306127048</v>
          </cell>
          <cell r="M53">
            <v>11.906288597802703</v>
          </cell>
          <cell r="N53">
            <v>11.809187825948666</v>
          </cell>
          <cell r="O53">
            <v>11.936194928271606</v>
          </cell>
          <cell r="P53">
            <v>11.982450315383428</v>
          </cell>
        </row>
        <row r="54">
          <cell r="B54" t="str">
            <v xml:space="preserve">    EU </v>
          </cell>
          <cell r="C54">
            <v>4.3886429552740038</v>
          </cell>
          <cell r="D54">
            <v>4.9419158255570368</v>
          </cell>
          <cell r="E54">
            <v>5.4364030474587741</v>
          </cell>
          <cell r="F54">
            <v>5.7874633553159391</v>
          </cell>
          <cell r="G54">
            <v>7.0139565663589618</v>
          </cell>
          <cell r="H54">
            <v>10.461607445526246</v>
          </cell>
          <cell r="I54">
            <v>10.934597187278765</v>
          </cell>
          <cell r="J54">
            <v>11.197557062305481</v>
          </cell>
          <cell r="K54">
            <v>12.009300821095341</v>
          </cell>
          <cell r="L54">
            <v>12.226098306667891</v>
          </cell>
          <cell r="M54">
            <v>11.906628094731047</v>
          </cell>
          <cell r="N54">
            <v>11.891433300570593</v>
          </cell>
          <cell r="O54">
            <v>12.028020909217219</v>
          </cell>
          <cell r="P54">
            <v>12.080597105542319</v>
          </cell>
        </row>
        <row r="57">
          <cell r="B57" t="str">
            <v xml:space="preserve">  Sources: IMF, Government Finance Statistics (CD-ROM, March 2008); International Financial Statistics; and World Economic Outlook.</v>
          </cell>
        </row>
        <row r="59">
          <cell r="B59" t="str">
            <v xml:space="preserve">   1/  General Government.</v>
          </cell>
        </row>
        <row r="60">
          <cell r="B60" t="str">
            <v xml:space="preserve">   2/  Consolidated Central Government.</v>
          </cell>
        </row>
        <row r="61">
          <cell r="B61" t="str">
            <v xml:space="preserve">   3/  European Union countries.</v>
          </cell>
        </row>
        <row r="62">
          <cell r="B62" t="str">
            <v xml:space="preserve">   4/  For each revenue classification, only countries for which data are available are included in the calculation.</v>
          </cell>
        </row>
      </sheetData>
      <sheetData sheetId="6">
        <row r="5">
          <cell r="B5" t="str">
            <v>Table 18.  OECD Countries: Taxes Social Contributions, 1992-2006 1/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of Contents"/>
      <sheetName val="ControlSheet"/>
      <sheetName val="Inputs 1 (liq indicators)"/>
      <sheetName val="country name lookup"/>
      <sheetName val="Inputs 2 (ext sector)"/>
      <sheetName val="Inputs 3 (fiscal sector)"/>
      <sheetName val="Inputs 4 (fin. sector)"/>
      <sheetName val="Inputs 5 (corp. sector)"/>
      <sheetName val="Inputs Macro Variables"/>
      <sheetName val="Calc Liq Ind"/>
      <sheetName val="Calc Ext Sector"/>
      <sheetName val="Calc Fisc Sector"/>
      <sheetName val="Calc Fin Sector"/>
      <sheetName val="Calc Corp. Sector"/>
      <sheetName val="old Tab 8. FR &amp; IR"/>
      <sheetName val="Tab 8. FR &amp; IR "/>
      <sheetName val="Output 1. Comp AD-I rat"/>
      <sheetName val="Output 1. Comp Alt I,II,III"/>
      <sheetName val="Output1 Summary-AltI"/>
      <sheetName val="Output 1. Summary-AltII"/>
      <sheetName val="Output1 Summary -AltIII"/>
      <sheetName val="Tab 9. External sector "/>
      <sheetName val="Tab 10. Public sector"/>
      <sheetName val="Tab 11. Financial sector"/>
      <sheetName val="Tab 12. Corporate sector"/>
      <sheetName val="Output 1. FR &amp; IR "/>
      <sheetName val="Output 2. External sector "/>
      <sheetName val="Output 3. Public sector"/>
      <sheetName val="Output 4. Financial sector"/>
      <sheetName val="Output 5. Corporate sector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Ccode</v>
          </cell>
          <cell r="B1" t="str">
            <v>Country</v>
          </cell>
        </row>
        <row r="2">
          <cell r="A2" t="str">
            <v>612</v>
          </cell>
          <cell r="B2" t="str">
            <v>Algeria</v>
          </cell>
        </row>
        <row r="3">
          <cell r="A3" t="str">
            <v>213</v>
          </cell>
          <cell r="B3" t="str">
            <v>Argentina</v>
          </cell>
        </row>
        <row r="4">
          <cell r="A4" t="str">
            <v>963</v>
          </cell>
          <cell r="B4" t="str">
            <v>Bosnia&amp;Herzegovina</v>
          </cell>
        </row>
        <row r="5">
          <cell r="A5" t="str">
            <v>223</v>
          </cell>
          <cell r="B5" t="str">
            <v>Brazil</v>
          </cell>
        </row>
        <row r="6">
          <cell r="A6" t="str">
            <v>918</v>
          </cell>
          <cell r="B6" t="str">
            <v>Bulgaria</v>
          </cell>
        </row>
        <row r="7">
          <cell r="A7" t="str">
            <v>228</v>
          </cell>
          <cell r="B7" t="str">
            <v>Chile</v>
          </cell>
        </row>
        <row r="8">
          <cell r="A8" t="str">
            <v>924</v>
          </cell>
          <cell r="B8" t="str">
            <v>China</v>
          </cell>
        </row>
        <row r="9">
          <cell r="A9" t="str">
            <v>233</v>
          </cell>
          <cell r="B9" t="str">
            <v>Colombia</v>
          </cell>
        </row>
        <row r="10">
          <cell r="A10" t="str">
            <v>238</v>
          </cell>
          <cell r="B10" t="str">
            <v>Costa Rica</v>
          </cell>
        </row>
        <row r="11">
          <cell r="A11" t="str">
            <v>960</v>
          </cell>
          <cell r="B11" t="str">
            <v>Croatia</v>
          </cell>
        </row>
        <row r="12">
          <cell r="A12" t="str">
            <v>935</v>
          </cell>
          <cell r="B12" t="str">
            <v>Czech Republic</v>
          </cell>
        </row>
        <row r="13">
          <cell r="A13" t="str">
            <v>243</v>
          </cell>
          <cell r="B13" t="str">
            <v>Dominican Republic</v>
          </cell>
        </row>
        <row r="14">
          <cell r="A14" t="str">
            <v>248</v>
          </cell>
          <cell r="B14" t="str">
            <v>Ecuador</v>
          </cell>
        </row>
        <row r="15">
          <cell r="A15" t="str">
            <v>469</v>
          </cell>
          <cell r="B15" t="str">
            <v>Egypt</v>
          </cell>
        </row>
        <row r="16">
          <cell r="A16" t="str">
            <v>253</v>
          </cell>
          <cell r="B16" t="str">
            <v>El Salvador</v>
          </cell>
        </row>
        <row r="17">
          <cell r="A17" t="str">
            <v>939</v>
          </cell>
          <cell r="B17" t="str">
            <v>Estonia</v>
          </cell>
        </row>
        <row r="18">
          <cell r="A18" t="str">
            <v>258</v>
          </cell>
          <cell r="B18" t="str">
            <v>Guatemala</v>
          </cell>
        </row>
        <row r="19">
          <cell r="A19" t="str">
            <v>944</v>
          </cell>
          <cell r="B19" t="str">
            <v>Hungary</v>
          </cell>
        </row>
        <row r="20">
          <cell r="A20" t="str">
            <v>534</v>
          </cell>
          <cell r="B20" t="str">
            <v>India</v>
          </cell>
        </row>
        <row r="21">
          <cell r="A21" t="str">
            <v>536</v>
          </cell>
          <cell r="B21" t="str">
            <v>Indonesia</v>
          </cell>
        </row>
        <row r="22">
          <cell r="A22" t="str">
            <v>436</v>
          </cell>
          <cell r="B22" t="str">
            <v>Israel</v>
          </cell>
        </row>
        <row r="23">
          <cell r="A23" t="str">
            <v>343</v>
          </cell>
          <cell r="B23" t="str">
            <v>Jamaica</v>
          </cell>
        </row>
        <row r="24">
          <cell r="A24" t="str">
            <v>439</v>
          </cell>
          <cell r="B24" t="str">
            <v>Jordan</v>
          </cell>
        </row>
        <row r="25">
          <cell r="A25" t="str">
            <v>916</v>
          </cell>
          <cell r="B25" t="str">
            <v>Kazakhstan</v>
          </cell>
        </row>
        <row r="26">
          <cell r="A26" t="str">
            <v>542</v>
          </cell>
          <cell r="B26" t="str">
            <v>Korea</v>
          </cell>
        </row>
        <row r="27">
          <cell r="A27" t="str">
            <v>941</v>
          </cell>
          <cell r="B27" t="str">
            <v>Latvia</v>
          </cell>
        </row>
        <row r="28">
          <cell r="A28" t="str">
            <v>446</v>
          </cell>
          <cell r="B28" t="str">
            <v>Lebanon</v>
          </cell>
        </row>
        <row r="29">
          <cell r="A29" t="str">
            <v>946</v>
          </cell>
          <cell r="B29" t="str">
            <v>Lithuania</v>
          </cell>
        </row>
        <row r="30">
          <cell r="A30" t="str">
            <v>548</v>
          </cell>
          <cell r="B30" t="str">
            <v>Malaysia</v>
          </cell>
        </row>
        <row r="31">
          <cell r="A31" t="str">
            <v>273</v>
          </cell>
          <cell r="B31" t="str">
            <v>Mexico</v>
          </cell>
        </row>
        <row r="32">
          <cell r="A32" t="str">
            <v>686</v>
          </cell>
          <cell r="B32" t="str">
            <v>Morocco</v>
          </cell>
        </row>
        <row r="33">
          <cell r="A33" t="str">
            <v>564</v>
          </cell>
          <cell r="B33" t="str">
            <v>Pakistan</v>
          </cell>
        </row>
        <row r="34">
          <cell r="A34" t="str">
            <v>283</v>
          </cell>
          <cell r="B34" t="str">
            <v>Panama</v>
          </cell>
        </row>
        <row r="35">
          <cell r="A35" t="str">
            <v>293</v>
          </cell>
          <cell r="B35" t="str">
            <v>Peru</v>
          </cell>
        </row>
        <row r="36">
          <cell r="A36" t="str">
            <v>566</v>
          </cell>
          <cell r="B36" t="str">
            <v>Philippines</v>
          </cell>
        </row>
        <row r="37">
          <cell r="A37">
            <v>964</v>
          </cell>
          <cell r="B37" t="str">
            <v>Poland</v>
          </cell>
        </row>
        <row r="38">
          <cell r="A38">
            <v>968</v>
          </cell>
          <cell r="B38" t="str">
            <v>Romania</v>
          </cell>
        </row>
        <row r="39">
          <cell r="A39">
            <v>922</v>
          </cell>
          <cell r="B39" t="str">
            <v>Russia</v>
          </cell>
        </row>
        <row r="40">
          <cell r="A40">
            <v>965</v>
          </cell>
          <cell r="B40" t="str">
            <v>Serbia&amp;Montenegro</v>
          </cell>
        </row>
        <row r="41">
          <cell r="A41">
            <v>936</v>
          </cell>
          <cell r="B41" t="str">
            <v>Slovak Republic</v>
          </cell>
        </row>
        <row r="42">
          <cell r="A42">
            <v>961</v>
          </cell>
          <cell r="B42" t="str">
            <v>Slovenia</v>
          </cell>
        </row>
        <row r="43">
          <cell r="A43">
            <v>199</v>
          </cell>
          <cell r="B43" t="str">
            <v>South Africa</v>
          </cell>
        </row>
        <row r="44">
          <cell r="A44">
            <v>524</v>
          </cell>
          <cell r="B44" t="str">
            <v>Sri Lanka</v>
          </cell>
        </row>
        <row r="45">
          <cell r="A45">
            <v>578</v>
          </cell>
          <cell r="B45" t="str">
            <v>Thailand</v>
          </cell>
        </row>
        <row r="46">
          <cell r="A46">
            <v>744</v>
          </cell>
          <cell r="B46" t="str">
            <v>Tunisia</v>
          </cell>
        </row>
        <row r="47">
          <cell r="A47">
            <v>186</v>
          </cell>
          <cell r="B47" t="str">
            <v>Turkey</v>
          </cell>
        </row>
        <row r="48">
          <cell r="A48">
            <v>926</v>
          </cell>
          <cell r="B48" t="str">
            <v>Ukraine</v>
          </cell>
        </row>
        <row r="49">
          <cell r="A49">
            <v>298</v>
          </cell>
          <cell r="B49" t="str">
            <v>Uruguay</v>
          </cell>
        </row>
        <row r="50">
          <cell r="A50">
            <v>299</v>
          </cell>
          <cell r="B50" t="str">
            <v>Venezuela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s"/>
      <sheetName val="Compare"/>
      <sheetName val="Table1"/>
      <sheetName val="Table2"/>
      <sheetName val="Table3"/>
      <sheetName val="Table4"/>
      <sheetName val="Current"/>
      <sheetName val="Previous"/>
      <sheetName val="ControlSheet"/>
      <sheetName val="Weights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6">
          <cell r="D66" t="str">
            <v>F2001START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íða"/>
      <sheetName val="Nýtt yfirlit 1"/>
      <sheetName val="Y2"/>
      <sheetName val="Y3"/>
      <sheetName val="Y4"/>
      <sheetName val="Y5"/>
      <sheetName val="Y6"/>
      <sheetName val="Y7"/>
      <sheetName val="Y8"/>
      <sheetName val="Y13"/>
      <sheetName val="MANUDUR"/>
      <sheetName val="Áætlun"/>
      <sheetName val="EFN_MMB_"/>
      <sheetName val="EFN_HMB_"/>
      <sheetName val="EFN_MAN_"/>
      <sheetName val="Efn_FA"/>
      <sheetName val="EFN_F2"/>
      <sheetName val="Efn_fa_h"/>
      <sheetName val="EFN_FAL"/>
      <sheetName val="efn_f2l"/>
      <sheetName val="mal"/>
      <sheetName val="mal_fa"/>
      <sheetName val="Fjárlög_sund"/>
      <sheetName val="tegsun"/>
      <sheetName val="Tegsun_fyrra"/>
      <sheetName val="Fjarh_man"/>
      <sheetName val="TEKJUR"/>
      <sheetName val="TEKJUR_M"/>
      <sheetName val="TEKJU_FA"/>
      <sheetName val="Fjárheimild mánaða tekjur"/>
      <sheetName val="FJARLTEK"/>
      <sheetName val="Efnahag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Viðfang</v>
          </cell>
          <cell r="B1" t="str">
            <v>Tegund</v>
          </cell>
          <cell r="C1" t="str">
            <v>Bota</v>
          </cell>
          <cell r="D1" t="str">
            <v>Útkoma</v>
          </cell>
        </row>
        <row r="2">
          <cell r="A2">
            <v>100</v>
          </cell>
          <cell r="B2">
            <v>1110</v>
          </cell>
          <cell r="C2">
            <v>0</v>
          </cell>
          <cell r="D2">
            <v>3.9928999999999999E-2</v>
          </cell>
        </row>
        <row r="3">
          <cell r="A3">
            <v>100</v>
          </cell>
          <cell r="B3">
            <v>1111</v>
          </cell>
          <cell r="C3">
            <v>0</v>
          </cell>
          <cell r="D3">
            <v>24.992138000000001</v>
          </cell>
        </row>
        <row r="4">
          <cell r="A4">
            <v>100</v>
          </cell>
          <cell r="B4">
            <v>1113</v>
          </cell>
          <cell r="C4">
            <v>0</v>
          </cell>
          <cell r="D4">
            <v>0.17829999999999999</v>
          </cell>
        </row>
        <row r="5">
          <cell r="A5">
            <v>100</v>
          </cell>
          <cell r="B5">
            <v>1118</v>
          </cell>
          <cell r="C5">
            <v>0</v>
          </cell>
          <cell r="D5">
            <v>5.837631</v>
          </cell>
        </row>
        <row r="6">
          <cell r="A6">
            <v>100</v>
          </cell>
          <cell r="B6">
            <v>1120</v>
          </cell>
          <cell r="C6">
            <v>0</v>
          </cell>
          <cell r="D6">
            <v>10158.294786</v>
          </cell>
        </row>
        <row r="7">
          <cell r="A7">
            <v>100</v>
          </cell>
          <cell r="B7">
            <v>1124</v>
          </cell>
          <cell r="C7">
            <v>0</v>
          </cell>
          <cell r="D7">
            <v>526.03084100000001</v>
          </cell>
        </row>
        <row r="8">
          <cell r="A8">
            <v>100</v>
          </cell>
          <cell r="B8">
            <v>1126</v>
          </cell>
          <cell r="C8">
            <v>0</v>
          </cell>
          <cell r="D8">
            <v>231.96846099999999</v>
          </cell>
        </row>
        <row r="9">
          <cell r="A9">
            <v>100</v>
          </cell>
          <cell r="B9">
            <v>1127</v>
          </cell>
          <cell r="C9">
            <v>0</v>
          </cell>
          <cell r="D9">
            <v>22.920573000000001</v>
          </cell>
        </row>
        <row r="10">
          <cell r="A10">
            <v>100</v>
          </cell>
          <cell r="B10">
            <v>1128</v>
          </cell>
          <cell r="C10">
            <v>0</v>
          </cell>
          <cell r="D10">
            <v>129.576776</v>
          </cell>
        </row>
        <row r="11">
          <cell r="A11">
            <v>100</v>
          </cell>
          <cell r="B11">
            <v>1129</v>
          </cell>
          <cell r="C11">
            <v>0</v>
          </cell>
          <cell r="D11">
            <v>24.573578000000001</v>
          </cell>
        </row>
        <row r="12">
          <cell r="A12">
            <v>100</v>
          </cell>
          <cell r="B12">
            <v>1139</v>
          </cell>
          <cell r="C12">
            <v>0</v>
          </cell>
          <cell r="D12">
            <v>18.201035000000001</v>
          </cell>
        </row>
        <row r="13">
          <cell r="A13">
            <v>100</v>
          </cell>
          <cell r="B13">
            <v>1142</v>
          </cell>
          <cell r="C13">
            <v>0</v>
          </cell>
          <cell r="D13">
            <v>-19.381629</v>
          </cell>
        </row>
        <row r="14">
          <cell r="A14">
            <v>100</v>
          </cell>
          <cell r="B14">
            <v>1144</v>
          </cell>
          <cell r="C14">
            <v>0</v>
          </cell>
          <cell r="D14">
            <v>56.712237999999999</v>
          </cell>
        </row>
        <row r="15">
          <cell r="A15">
            <v>100</v>
          </cell>
          <cell r="B15">
            <v>1146</v>
          </cell>
          <cell r="C15">
            <v>0</v>
          </cell>
          <cell r="D15">
            <v>205.26927900000001</v>
          </cell>
        </row>
        <row r="16">
          <cell r="A16">
            <v>100</v>
          </cell>
          <cell r="B16">
            <v>1147</v>
          </cell>
          <cell r="C16">
            <v>0</v>
          </cell>
          <cell r="D16">
            <v>-6.6121949999999998</v>
          </cell>
        </row>
        <row r="17">
          <cell r="A17">
            <v>100</v>
          </cell>
          <cell r="B17">
            <v>1148</v>
          </cell>
          <cell r="C17">
            <v>0</v>
          </cell>
          <cell r="D17">
            <v>67.728385000000003</v>
          </cell>
        </row>
        <row r="18">
          <cell r="A18">
            <v>100</v>
          </cell>
          <cell r="B18">
            <v>1149</v>
          </cell>
          <cell r="C18">
            <v>0</v>
          </cell>
          <cell r="D18">
            <v>-0.30432500000000001</v>
          </cell>
        </row>
        <row r="19">
          <cell r="A19">
            <v>100</v>
          </cell>
          <cell r="B19">
            <v>1181</v>
          </cell>
          <cell r="C19">
            <v>0</v>
          </cell>
          <cell r="D19">
            <v>-23.433627999999999</v>
          </cell>
        </row>
        <row r="20">
          <cell r="A20">
            <v>100</v>
          </cell>
          <cell r="B20">
            <v>1183</v>
          </cell>
          <cell r="C20">
            <v>0</v>
          </cell>
          <cell r="D20">
            <v>309.53739300000001</v>
          </cell>
        </row>
        <row r="21">
          <cell r="A21">
            <v>100</v>
          </cell>
          <cell r="B21">
            <v>1184</v>
          </cell>
          <cell r="C21">
            <v>0</v>
          </cell>
          <cell r="D21">
            <v>-28.991499999999998</v>
          </cell>
        </row>
        <row r="22">
          <cell r="A22">
            <v>100</v>
          </cell>
          <cell r="B22">
            <v>1186</v>
          </cell>
          <cell r="C22">
            <v>0</v>
          </cell>
          <cell r="D22">
            <v>-5.3005370000000003</v>
          </cell>
        </row>
        <row r="23">
          <cell r="A23">
            <v>100</v>
          </cell>
          <cell r="B23">
            <v>1191</v>
          </cell>
          <cell r="C23">
            <v>0</v>
          </cell>
          <cell r="D23">
            <v>592.82329800000002</v>
          </cell>
        </row>
        <row r="24">
          <cell r="A24">
            <v>100</v>
          </cell>
          <cell r="B24">
            <v>1192</v>
          </cell>
          <cell r="C24">
            <v>0</v>
          </cell>
          <cell r="D24">
            <v>-10.900588000000001</v>
          </cell>
        </row>
        <row r="25">
          <cell r="A25">
            <v>100</v>
          </cell>
          <cell r="B25">
            <v>1193</v>
          </cell>
          <cell r="C25">
            <v>0</v>
          </cell>
          <cell r="D25">
            <v>13.037261000000001</v>
          </cell>
        </row>
        <row r="26">
          <cell r="A26">
            <v>100</v>
          </cell>
          <cell r="B26">
            <v>1194</v>
          </cell>
          <cell r="C26">
            <v>0</v>
          </cell>
          <cell r="D26">
            <v>0.83070299999999997</v>
          </cell>
        </row>
        <row r="27">
          <cell r="A27">
            <v>100</v>
          </cell>
          <cell r="B27">
            <v>1195</v>
          </cell>
          <cell r="C27">
            <v>0</v>
          </cell>
          <cell r="D27">
            <v>10.003197999999999</v>
          </cell>
        </row>
        <row r="28">
          <cell r="A28">
            <v>100</v>
          </cell>
          <cell r="B28">
            <v>1196</v>
          </cell>
          <cell r="C28">
            <v>0</v>
          </cell>
          <cell r="D28">
            <v>14.699966</v>
          </cell>
        </row>
        <row r="29">
          <cell r="A29">
            <v>100</v>
          </cell>
          <cell r="B29">
            <v>1197</v>
          </cell>
          <cell r="C29">
            <v>0</v>
          </cell>
          <cell r="D29">
            <v>7.4610940000000001</v>
          </cell>
        </row>
        <row r="30">
          <cell r="A30">
            <v>100</v>
          </cell>
          <cell r="B30">
            <v>1199</v>
          </cell>
          <cell r="C30">
            <v>0</v>
          </cell>
          <cell r="D30">
            <v>-6.0734139999999996</v>
          </cell>
        </row>
        <row r="31">
          <cell r="A31">
            <v>100</v>
          </cell>
          <cell r="B31">
            <v>1210</v>
          </cell>
          <cell r="C31">
            <v>0</v>
          </cell>
          <cell r="D31">
            <v>-38.966563999999998</v>
          </cell>
        </row>
        <row r="32">
          <cell r="A32">
            <v>100</v>
          </cell>
          <cell r="B32">
            <v>1211</v>
          </cell>
          <cell r="C32">
            <v>0</v>
          </cell>
          <cell r="D32">
            <v>424.27647400000001</v>
          </cell>
        </row>
        <row r="33">
          <cell r="A33">
            <v>100</v>
          </cell>
          <cell r="B33">
            <v>1212</v>
          </cell>
          <cell r="C33">
            <v>0</v>
          </cell>
          <cell r="D33">
            <v>-26.592077</v>
          </cell>
        </row>
        <row r="34">
          <cell r="A34">
            <v>100</v>
          </cell>
          <cell r="B34">
            <v>1213</v>
          </cell>
          <cell r="C34">
            <v>0</v>
          </cell>
          <cell r="D34">
            <v>-64.519496000000004</v>
          </cell>
        </row>
        <row r="35">
          <cell r="A35">
            <v>100</v>
          </cell>
          <cell r="B35">
            <v>1214</v>
          </cell>
          <cell r="C35">
            <v>0</v>
          </cell>
          <cell r="D35">
            <v>-43.004973</v>
          </cell>
        </row>
        <row r="36">
          <cell r="A36">
            <v>100</v>
          </cell>
          <cell r="B36">
            <v>1215</v>
          </cell>
          <cell r="C36">
            <v>0</v>
          </cell>
          <cell r="D36">
            <v>-342.93329599999998</v>
          </cell>
        </row>
        <row r="37">
          <cell r="A37">
            <v>100</v>
          </cell>
          <cell r="B37">
            <v>1216</v>
          </cell>
          <cell r="C37">
            <v>0</v>
          </cell>
          <cell r="D37">
            <v>-40.680877000000002</v>
          </cell>
        </row>
        <row r="38">
          <cell r="A38">
            <v>100</v>
          </cell>
          <cell r="B38">
            <v>1217</v>
          </cell>
          <cell r="C38">
            <v>0</v>
          </cell>
          <cell r="D38">
            <v>6.723382</v>
          </cell>
        </row>
        <row r="39">
          <cell r="A39">
            <v>100</v>
          </cell>
          <cell r="B39">
            <v>1218</v>
          </cell>
          <cell r="C39">
            <v>0</v>
          </cell>
          <cell r="D39">
            <v>-296.01295900000002</v>
          </cell>
        </row>
        <row r="40">
          <cell r="A40">
            <v>100</v>
          </cell>
          <cell r="B40">
            <v>1219</v>
          </cell>
          <cell r="C40">
            <v>0</v>
          </cell>
          <cell r="D40">
            <v>-50.397008999999997</v>
          </cell>
        </row>
        <row r="41">
          <cell r="A41">
            <v>100</v>
          </cell>
          <cell r="B41">
            <v>1225</v>
          </cell>
          <cell r="C41">
            <v>0</v>
          </cell>
          <cell r="D41">
            <v>1247.0455199999999</v>
          </cell>
        </row>
        <row r="42">
          <cell r="A42">
            <v>100</v>
          </cell>
          <cell r="B42">
            <v>1235</v>
          </cell>
          <cell r="C42">
            <v>8</v>
          </cell>
          <cell r="D42">
            <v>-60</v>
          </cell>
        </row>
        <row r="43">
          <cell r="A43">
            <v>100</v>
          </cell>
          <cell r="B43">
            <v>1245</v>
          </cell>
          <cell r="C43">
            <v>0</v>
          </cell>
          <cell r="D43">
            <v>-1.6261999999999999E-2</v>
          </cell>
        </row>
        <row r="44">
          <cell r="A44">
            <v>100</v>
          </cell>
          <cell r="B44">
            <v>1259</v>
          </cell>
          <cell r="C44">
            <v>0</v>
          </cell>
          <cell r="D44">
            <v>0.68293899999999996</v>
          </cell>
        </row>
        <row r="45">
          <cell r="A45">
            <v>100</v>
          </cell>
          <cell r="B45">
            <v>1271</v>
          </cell>
          <cell r="C45">
            <v>0</v>
          </cell>
          <cell r="D45">
            <v>0</v>
          </cell>
        </row>
        <row r="46">
          <cell r="A46">
            <v>100</v>
          </cell>
          <cell r="B46">
            <v>1275</v>
          </cell>
          <cell r="C46">
            <v>0</v>
          </cell>
          <cell r="D46">
            <v>92.353988999999999</v>
          </cell>
        </row>
        <row r="47">
          <cell r="A47">
            <v>100</v>
          </cell>
          <cell r="B47">
            <v>1276</v>
          </cell>
          <cell r="C47">
            <v>0</v>
          </cell>
          <cell r="D47">
            <v>1869.392812</v>
          </cell>
        </row>
        <row r="48">
          <cell r="A48">
            <v>100</v>
          </cell>
          <cell r="B48">
            <v>1278</v>
          </cell>
          <cell r="C48">
            <v>0</v>
          </cell>
          <cell r="D48">
            <v>4.1192719999999996</v>
          </cell>
        </row>
        <row r="49">
          <cell r="A49">
            <v>100</v>
          </cell>
          <cell r="B49">
            <v>1279</v>
          </cell>
          <cell r="C49">
            <v>0</v>
          </cell>
          <cell r="D49">
            <v>-12.446184000000001</v>
          </cell>
        </row>
        <row r="50">
          <cell r="A50">
            <v>100</v>
          </cell>
          <cell r="B50">
            <v>1414</v>
          </cell>
          <cell r="C50">
            <v>0</v>
          </cell>
          <cell r="D50">
            <v>-5.020378</v>
          </cell>
        </row>
        <row r="51">
          <cell r="A51">
            <v>100</v>
          </cell>
          <cell r="B51">
            <v>1424</v>
          </cell>
          <cell r="C51">
            <v>0</v>
          </cell>
          <cell r="D51">
            <v>2.377615</v>
          </cell>
        </row>
        <row r="52">
          <cell r="A52">
            <v>100</v>
          </cell>
          <cell r="B52">
            <v>1426</v>
          </cell>
          <cell r="C52">
            <v>0</v>
          </cell>
          <cell r="D52">
            <v>11.75765</v>
          </cell>
        </row>
        <row r="53">
          <cell r="A53">
            <v>100</v>
          </cell>
          <cell r="B53">
            <v>1428</v>
          </cell>
          <cell r="C53">
            <v>0</v>
          </cell>
          <cell r="D53">
            <v>-6.1103999999999999E-2</v>
          </cell>
        </row>
        <row r="54">
          <cell r="A54">
            <v>100</v>
          </cell>
          <cell r="B54">
            <v>1429</v>
          </cell>
          <cell r="C54">
            <v>0</v>
          </cell>
          <cell r="D54">
            <v>191.81870599999999</v>
          </cell>
        </row>
        <row r="55">
          <cell r="A55">
            <v>100</v>
          </cell>
          <cell r="B55">
            <v>1615</v>
          </cell>
          <cell r="C55">
            <v>8</v>
          </cell>
          <cell r="D55">
            <v>-3.78</v>
          </cell>
        </row>
        <row r="56">
          <cell r="A56">
            <v>100</v>
          </cell>
          <cell r="B56">
            <v>1715</v>
          </cell>
          <cell r="C56">
            <v>7</v>
          </cell>
          <cell r="D56">
            <v>25</v>
          </cell>
        </row>
        <row r="57">
          <cell r="A57">
            <v>100</v>
          </cell>
          <cell r="B57">
            <v>2210</v>
          </cell>
          <cell r="C57">
            <v>0</v>
          </cell>
          <cell r="D57">
            <v>-1482.1737969999999</v>
          </cell>
        </row>
        <row r="58">
          <cell r="A58">
            <v>100</v>
          </cell>
          <cell r="B58">
            <v>2211</v>
          </cell>
          <cell r="C58">
            <v>0</v>
          </cell>
          <cell r="D58">
            <v>648.30631200000005</v>
          </cell>
        </row>
        <row r="59">
          <cell r="A59">
            <v>100</v>
          </cell>
          <cell r="B59">
            <v>2212</v>
          </cell>
          <cell r="C59">
            <v>0</v>
          </cell>
          <cell r="D59">
            <v>17.304829999999999</v>
          </cell>
        </row>
        <row r="60">
          <cell r="A60">
            <v>100</v>
          </cell>
          <cell r="B60">
            <v>2213</v>
          </cell>
          <cell r="C60">
            <v>0</v>
          </cell>
          <cell r="D60">
            <v>29.41094</v>
          </cell>
        </row>
        <row r="61">
          <cell r="A61">
            <v>100</v>
          </cell>
          <cell r="B61">
            <v>2214</v>
          </cell>
          <cell r="C61">
            <v>0</v>
          </cell>
          <cell r="D61">
            <v>139.36612500000001</v>
          </cell>
        </row>
        <row r="62">
          <cell r="A62">
            <v>100</v>
          </cell>
          <cell r="B62">
            <v>2215</v>
          </cell>
          <cell r="C62">
            <v>0</v>
          </cell>
          <cell r="D62">
            <v>223.667484</v>
          </cell>
        </row>
        <row r="63">
          <cell r="A63">
            <v>100</v>
          </cell>
          <cell r="B63">
            <v>2216</v>
          </cell>
          <cell r="C63">
            <v>0</v>
          </cell>
          <cell r="D63">
            <v>225.52901499999999</v>
          </cell>
        </row>
        <row r="64">
          <cell r="A64">
            <v>100</v>
          </cell>
          <cell r="B64">
            <v>2217</v>
          </cell>
          <cell r="C64">
            <v>0</v>
          </cell>
          <cell r="D64">
            <v>117.905883</v>
          </cell>
        </row>
        <row r="65">
          <cell r="A65">
            <v>100</v>
          </cell>
          <cell r="B65">
            <v>2218</v>
          </cell>
          <cell r="C65">
            <v>0</v>
          </cell>
          <cell r="D65">
            <v>101.384793</v>
          </cell>
        </row>
        <row r="66">
          <cell r="A66">
            <v>100</v>
          </cell>
          <cell r="B66">
            <v>2219</v>
          </cell>
          <cell r="C66">
            <v>0</v>
          </cell>
          <cell r="D66">
            <v>-1860.5535689999999</v>
          </cell>
        </row>
        <row r="67">
          <cell r="A67">
            <v>100</v>
          </cell>
          <cell r="B67">
            <v>2238</v>
          </cell>
          <cell r="C67">
            <v>7</v>
          </cell>
          <cell r="D67">
            <v>-1.75</v>
          </cell>
        </row>
        <row r="68">
          <cell r="A68">
            <v>100</v>
          </cell>
          <cell r="B68">
            <v>2238</v>
          </cell>
          <cell r="C68">
            <v>8</v>
          </cell>
          <cell r="D68">
            <v>0.68161799999999995</v>
          </cell>
        </row>
        <row r="69">
          <cell r="A69">
            <v>100</v>
          </cell>
          <cell r="B69">
            <v>2256</v>
          </cell>
          <cell r="C69">
            <v>0</v>
          </cell>
          <cell r="D69">
            <v>-0.69534099999999999</v>
          </cell>
        </row>
        <row r="70">
          <cell r="A70">
            <v>100</v>
          </cell>
          <cell r="B70">
            <v>2259</v>
          </cell>
          <cell r="C70">
            <v>0</v>
          </cell>
          <cell r="D70">
            <v>-1309.1360159999999</v>
          </cell>
        </row>
        <row r="71">
          <cell r="A71">
            <v>100</v>
          </cell>
          <cell r="B71">
            <v>2271</v>
          </cell>
          <cell r="C71">
            <v>0</v>
          </cell>
          <cell r="D71">
            <v>-3.2000000000000002E-3</v>
          </cell>
        </row>
        <row r="72">
          <cell r="A72">
            <v>100</v>
          </cell>
          <cell r="B72">
            <v>2275</v>
          </cell>
          <cell r="C72">
            <v>0</v>
          </cell>
          <cell r="D72">
            <v>4233.2673960000002</v>
          </cell>
        </row>
        <row r="73">
          <cell r="A73">
            <v>100</v>
          </cell>
          <cell r="B73">
            <v>2275</v>
          </cell>
          <cell r="C73">
            <v>8</v>
          </cell>
          <cell r="D73">
            <v>0</v>
          </cell>
        </row>
        <row r="74">
          <cell r="A74">
            <v>100</v>
          </cell>
          <cell r="B74">
            <v>2276</v>
          </cell>
          <cell r="C74">
            <v>0</v>
          </cell>
          <cell r="D74">
            <v>3817.3344029999998</v>
          </cell>
        </row>
        <row r="75">
          <cell r="A75">
            <v>100</v>
          </cell>
          <cell r="B75">
            <v>2278</v>
          </cell>
          <cell r="C75">
            <v>0</v>
          </cell>
          <cell r="D75">
            <v>79.304074999999997</v>
          </cell>
        </row>
        <row r="76">
          <cell r="A76">
            <v>100</v>
          </cell>
          <cell r="B76">
            <v>2279</v>
          </cell>
          <cell r="C76">
            <v>0</v>
          </cell>
          <cell r="D76">
            <v>69.398380000000003</v>
          </cell>
        </row>
        <row r="77">
          <cell r="A77">
            <v>100</v>
          </cell>
          <cell r="B77">
            <v>2616</v>
          </cell>
          <cell r="C77">
            <v>8</v>
          </cell>
          <cell r="D77">
            <v>1.2894490000000001</v>
          </cell>
        </row>
        <row r="78">
          <cell r="A78">
            <v>100</v>
          </cell>
          <cell r="B78">
            <v>2618</v>
          </cell>
          <cell r="C78">
            <v>8</v>
          </cell>
          <cell r="D78">
            <v>3.2073339999999999</v>
          </cell>
        </row>
        <row r="79">
          <cell r="A79">
            <v>100</v>
          </cell>
          <cell r="B79">
            <v>3919</v>
          </cell>
          <cell r="C79">
            <v>0</v>
          </cell>
          <cell r="D79">
            <v>127.398144</v>
          </cell>
        </row>
        <row r="80">
          <cell r="A80">
            <v>100</v>
          </cell>
          <cell r="B80">
            <v>12111</v>
          </cell>
          <cell r="C80">
            <v>0</v>
          </cell>
          <cell r="D80">
            <v>-5.219284</v>
          </cell>
        </row>
        <row r="81">
          <cell r="A81">
            <v>100</v>
          </cell>
          <cell r="B81">
            <v>12118</v>
          </cell>
          <cell r="C81">
            <v>0</v>
          </cell>
          <cell r="D81">
            <v>24.252884000000002</v>
          </cell>
        </row>
        <row r="82">
          <cell r="A82">
            <v>100</v>
          </cell>
          <cell r="B82">
            <v>12161</v>
          </cell>
          <cell r="C82">
            <v>0</v>
          </cell>
          <cell r="D82">
            <v>0.195412</v>
          </cell>
        </row>
        <row r="83">
          <cell r="A83">
            <v>100</v>
          </cell>
          <cell r="B83">
            <v>12164</v>
          </cell>
          <cell r="C83">
            <v>0</v>
          </cell>
          <cell r="D83">
            <v>182.588131</v>
          </cell>
        </row>
        <row r="84">
          <cell r="A84">
            <v>100</v>
          </cell>
          <cell r="B84">
            <v>12169</v>
          </cell>
          <cell r="C84">
            <v>0</v>
          </cell>
          <cell r="D84">
            <v>0.76877399999999996</v>
          </cell>
        </row>
        <row r="85">
          <cell r="A85">
            <v>100</v>
          </cell>
          <cell r="B85">
            <v>12176</v>
          </cell>
          <cell r="C85">
            <v>0</v>
          </cell>
          <cell r="D85">
            <v>-175.12715900000001</v>
          </cell>
        </row>
        <row r="86">
          <cell r="A86">
            <v>100</v>
          </cell>
          <cell r="B86">
            <v>12177</v>
          </cell>
          <cell r="C86">
            <v>0</v>
          </cell>
          <cell r="D86">
            <v>-315.89475299999998</v>
          </cell>
        </row>
        <row r="87">
          <cell r="A87">
            <v>100</v>
          </cell>
          <cell r="B87">
            <v>12178</v>
          </cell>
          <cell r="C87">
            <v>0</v>
          </cell>
          <cell r="D87">
            <v>145.871092</v>
          </cell>
        </row>
        <row r="88">
          <cell r="A88">
            <v>100</v>
          </cell>
          <cell r="B88">
            <v>12191</v>
          </cell>
          <cell r="C88">
            <v>0</v>
          </cell>
          <cell r="D88">
            <v>91.602598</v>
          </cell>
        </row>
        <row r="89">
          <cell r="A89">
            <v>100</v>
          </cell>
          <cell r="B89">
            <v>12560</v>
          </cell>
          <cell r="C89">
            <v>0</v>
          </cell>
          <cell r="D89">
            <v>-27.432794999999999</v>
          </cell>
        </row>
        <row r="90">
          <cell r="A90">
            <v>100</v>
          </cell>
          <cell r="B90">
            <v>12751</v>
          </cell>
          <cell r="C90">
            <v>0</v>
          </cell>
          <cell r="D90">
            <v>0.74369200000000002</v>
          </cell>
        </row>
        <row r="91">
          <cell r="A91">
            <v>100</v>
          </cell>
          <cell r="B91">
            <v>12754</v>
          </cell>
          <cell r="C91">
            <v>0</v>
          </cell>
          <cell r="D91">
            <v>-191.53062</v>
          </cell>
        </row>
        <row r="92">
          <cell r="A92">
            <v>100</v>
          </cell>
          <cell r="B92">
            <v>12756</v>
          </cell>
          <cell r="C92">
            <v>0</v>
          </cell>
          <cell r="D92">
            <v>-22.051822000000001</v>
          </cell>
        </row>
        <row r="93">
          <cell r="A93">
            <v>100</v>
          </cell>
          <cell r="B93">
            <v>12798</v>
          </cell>
          <cell r="C93">
            <v>0</v>
          </cell>
          <cell r="D93">
            <v>-137.98487399999999</v>
          </cell>
        </row>
        <row r="94">
          <cell r="A94">
            <v>100</v>
          </cell>
          <cell r="B94">
            <v>12799</v>
          </cell>
          <cell r="C94">
            <v>0</v>
          </cell>
          <cell r="D94">
            <v>-1.269252</v>
          </cell>
        </row>
        <row r="95">
          <cell r="A95">
            <v>100</v>
          </cell>
          <cell r="B95">
            <v>14289</v>
          </cell>
          <cell r="C95">
            <v>0</v>
          </cell>
          <cell r="D95">
            <v>8.8082999999999995E-2</v>
          </cell>
        </row>
        <row r="96">
          <cell r="A96">
            <v>100</v>
          </cell>
          <cell r="B96">
            <v>14298</v>
          </cell>
          <cell r="C96">
            <v>0</v>
          </cell>
          <cell r="D96">
            <v>1.9999999999999999E-6</v>
          </cell>
        </row>
        <row r="97">
          <cell r="A97">
            <v>100</v>
          </cell>
          <cell r="B97">
            <v>14299</v>
          </cell>
          <cell r="C97">
            <v>0</v>
          </cell>
          <cell r="D97">
            <v>-0.15105499999999999</v>
          </cell>
        </row>
        <row r="98">
          <cell r="A98">
            <v>100</v>
          </cell>
          <cell r="B98">
            <v>16142</v>
          </cell>
          <cell r="C98">
            <v>7</v>
          </cell>
          <cell r="D98">
            <v>36.572405000000003</v>
          </cell>
        </row>
        <row r="99">
          <cell r="A99">
            <v>100</v>
          </cell>
          <cell r="B99">
            <v>16142</v>
          </cell>
          <cell r="C99">
            <v>8</v>
          </cell>
          <cell r="D99">
            <v>-1.0540579999999999</v>
          </cell>
        </row>
        <row r="100">
          <cell r="A100">
            <v>100</v>
          </cell>
          <cell r="B100">
            <v>16161</v>
          </cell>
          <cell r="C100">
            <v>6</v>
          </cell>
          <cell r="D100">
            <v>-1.8030820000000001</v>
          </cell>
        </row>
        <row r="101">
          <cell r="A101">
            <v>100</v>
          </cell>
          <cell r="B101">
            <v>16161</v>
          </cell>
          <cell r="C101">
            <v>7</v>
          </cell>
          <cell r="D101">
            <v>1.2656579999999999</v>
          </cell>
        </row>
        <row r="102">
          <cell r="A102">
            <v>100</v>
          </cell>
          <cell r="B102">
            <v>16161</v>
          </cell>
          <cell r="C102">
            <v>8</v>
          </cell>
          <cell r="D102">
            <v>1.3122999999999999E-2</v>
          </cell>
        </row>
        <row r="103">
          <cell r="A103">
            <v>100</v>
          </cell>
          <cell r="B103">
            <v>22001</v>
          </cell>
          <cell r="C103">
            <v>0</v>
          </cell>
          <cell r="D103">
            <v>-91.491443000000004</v>
          </cell>
        </row>
        <row r="104">
          <cell r="A104">
            <v>100</v>
          </cell>
          <cell r="B104">
            <v>22002</v>
          </cell>
          <cell r="C104">
            <v>0</v>
          </cell>
          <cell r="D104">
            <v>0</v>
          </cell>
        </row>
        <row r="105">
          <cell r="A105">
            <v>100</v>
          </cell>
          <cell r="B105">
            <v>22003</v>
          </cell>
          <cell r="C105">
            <v>0</v>
          </cell>
          <cell r="D105">
            <v>23.450672000000001</v>
          </cell>
        </row>
        <row r="106">
          <cell r="A106">
            <v>100</v>
          </cell>
          <cell r="B106">
            <v>22004</v>
          </cell>
          <cell r="C106">
            <v>0</v>
          </cell>
          <cell r="D106">
            <v>169.235544</v>
          </cell>
        </row>
        <row r="107">
          <cell r="A107">
            <v>100</v>
          </cell>
          <cell r="B107">
            <v>22005</v>
          </cell>
          <cell r="C107">
            <v>0</v>
          </cell>
          <cell r="D107">
            <v>43.850942000000003</v>
          </cell>
        </row>
        <row r="108">
          <cell r="A108">
            <v>100</v>
          </cell>
          <cell r="B108">
            <v>22007</v>
          </cell>
          <cell r="C108">
            <v>0</v>
          </cell>
          <cell r="D108">
            <v>-1.1016300000000001</v>
          </cell>
        </row>
        <row r="109">
          <cell r="A109">
            <v>100</v>
          </cell>
          <cell r="B109">
            <v>22008</v>
          </cell>
          <cell r="C109">
            <v>0</v>
          </cell>
          <cell r="D109">
            <v>-9.7780000000000002E-3</v>
          </cell>
        </row>
        <row r="110">
          <cell r="A110">
            <v>100</v>
          </cell>
          <cell r="B110">
            <v>22011</v>
          </cell>
          <cell r="C110">
            <v>0</v>
          </cell>
          <cell r="D110">
            <v>-1.5720860000000001</v>
          </cell>
        </row>
        <row r="111">
          <cell r="A111">
            <v>100</v>
          </cell>
          <cell r="B111">
            <v>22013</v>
          </cell>
          <cell r="C111">
            <v>0</v>
          </cell>
          <cell r="D111">
            <v>-6.5565999999999999E-2</v>
          </cell>
        </row>
        <row r="112">
          <cell r="A112">
            <v>100</v>
          </cell>
          <cell r="B112">
            <v>22016</v>
          </cell>
          <cell r="C112">
            <v>0</v>
          </cell>
          <cell r="D112">
            <v>0.27713300000000002</v>
          </cell>
        </row>
        <row r="113">
          <cell r="A113">
            <v>100</v>
          </cell>
          <cell r="B113">
            <v>22019</v>
          </cell>
          <cell r="C113">
            <v>0</v>
          </cell>
          <cell r="D113">
            <v>-89.049605999999997</v>
          </cell>
        </row>
        <row r="114">
          <cell r="A114">
            <v>100</v>
          </cell>
          <cell r="B114">
            <v>22162</v>
          </cell>
          <cell r="C114">
            <v>0</v>
          </cell>
          <cell r="D114">
            <v>0.25697999999999999</v>
          </cell>
        </row>
        <row r="115">
          <cell r="A115">
            <v>100</v>
          </cell>
          <cell r="B115">
            <v>22165</v>
          </cell>
          <cell r="C115">
            <v>0</v>
          </cell>
          <cell r="D115">
            <v>6.4621680000000001</v>
          </cell>
        </row>
        <row r="116">
          <cell r="A116">
            <v>100</v>
          </cell>
          <cell r="B116">
            <v>22191</v>
          </cell>
          <cell r="C116">
            <v>0</v>
          </cell>
          <cell r="D116">
            <v>-91.552949999999996</v>
          </cell>
        </row>
        <row r="117">
          <cell r="A117">
            <v>100</v>
          </cell>
          <cell r="B117">
            <v>22751</v>
          </cell>
          <cell r="C117">
            <v>0</v>
          </cell>
          <cell r="D117">
            <v>2719.6283400000002</v>
          </cell>
        </row>
        <row r="118">
          <cell r="A118">
            <v>100</v>
          </cell>
          <cell r="B118">
            <v>22753</v>
          </cell>
          <cell r="C118">
            <v>0</v>
          </cell>
          <cell r="D118">
            <v>22.165965</v>
          </cell>
        </row>
        <row r="119">
          <cell r="A119">
            <v>100</v>
          </cell>
          <cell r="B119">
            <v>22758</v>
          </cell>
          <cell r="C119">
            <v>0</v>
          </cell>
          <cell r="D119">
            <v>-7821.1306299999997</v>
          </cell>
        </row>
        <row r="120">
          <cell r="A120">
            <v>100</v>
          </cell>
          <cell r="B120">
            <v>22761</v>
          </cell>
          <cell r="C120">
            <v>0</v>
          </cell>
          <cell r="D120">
            <v>0.90246899999999997</v>
          </cell>
        </row>
        <row r="121">
          <cell r="A121">
            <v>100</v>
          </cell>
          <cell r="B121">
            <v>22763</v>
          </cell>
          <cell r="C121">
            <v>0</v>
          </cell>
          <cell r="D121">
            <v>-435.46563600000002</v>
          </cell>
        </row>
        <row r="122">
          <cell r="A122">
            <v>100</v>
          </cell>
          <cell r="B122">
            <v>22799</v>
          </cell>
          <cell r="C122">
            <v>0</v>
          </cell>
          <cell r="D122">
            <v>-8.3765000000000006E-2</v>
          </cell>
        </row>
        <row r="123">
          <cell r="A123">
            <v>100</v>
          </cell>
          <cell r="B123">
            <v>26122</v>
          </cell>
          <cell r="C123">
            <v>8</v>
          </cell>
          <cell r="D123">
            <v>5.0567000000000001E-2</v>
          </cell>
        </row>
        <row r="124">
          <cell r="A124">
            <v>100</v>
          </cell>
          <cell r="B124">
            <v>26249</v>
          </cell>
          <cell r="C124">
            <v>8</v>
          </cell>
          <cell r="D124">
            <v>0.19205700000000001</v>
          </cell>
        </row>
        <row r="125">
          <cell r="A125">
            <v>100</v>
          </cell>
          <cell r="B125">
            <v>121761</v>
          </cell>
          <cell r="C125">
            <v>0</v>
          </cell>
          <cell r="D125">
            <v>-3.0694789999999998</v>
          </cell>
        </row>
        <row r="126">
          <cell r="A126">
            <v>100</v>
          </cell>
          <cell r="B126">
            <v>1110</v>
          </cell>
          <cell r="C126">
            <v>0</v>
          </cell>
          <cell r="D126">
            <v>-0.21826500000000004</v>
          </cell>
        </row>
        <row r="127">
          <cell r="A127">
            <v>100</v>
          </cell>
          <cell r="B127">
            <v>1120</v>
          </cell>
          <cell r="C127">
            <v>0</v>
          </cell>
          <cell r="D127">
            <v>-57225.011241000015</v>
          </cell>
        </row>
        <row r="128">
          <cell r="A128">
            <v>100</v>
          </cell>
          <cell r="B128">
            <v>1147</v>
          </cell>
          <cell r="C128">
            <v>0</v>
          </cell>
          <cell r="D128">
            <v>-11.166017999999999</v>
          </cell>
        </row>
        <row r="129">
          <cell r="A129">
            <v>100</v>
          </cell>
          <cell r="B129">
            <v>1170</v>
          </cell>
          <cell r="C129">
            <v>0</v>
          </cell>
          <cell r="D129">
            <v>0</v>
          </cell>
        </row>
        <row r="130">
          <cell r="A130">
            <v>100</v>
          </cell>
          <cell r="B130">
            <v>1177</v>
          </cell>
          <cell r="C130">
            <v>0</v>
          </cell>
          <cell r="D130">
            <v>-3.0375701953744283E-13</v>
          </cell>
        </row>
        <row r="131">
          <cell r="A131">
            <v>100</v>
          </cell>
          <cell r="B131">
            <v>1179</v>
          </cell>
          <cell r="C131">
            <v>0</v>
          </cell>
          <cell r="D131">
            <v>0</v>
          </cell>
        </row>
        <row r="132">
          <cell r="A132">
            <v>100</v>
          </cell>
          <cell r="B132">
            <v>1181</v>
          </cell>
          <cell r="C132">
            <v>0</v>
          </cell>
          <cell r="D132">
            <v>-52.096527999999999</v>
          </cell>
        </row>
        <row r="133">
          <cell r="A133">
            <v>100</v>
          </cell>
          <cell r="B133">
            <v>1182</v>
          </cell>
          <cell r="C133">
            <v>0</v>
          </cell>
          <cell r="D133">
            <v>727.98837800000001</v>
          </cell>
        </row>
        <row r="134">
          <cell r="A134">
            <v>100</v>
          </cell>
          <cell r="B134">
            <v>1183</v>
          </cell>
          <cell r="C134">
            <v>0</v>
          </cell>
          <cell r="D134">
            <v>56156.759245000001</v>
          </cell>
        </row>
        <row r="135">
          <cell r="A135">
            <v>100</v>
          </cell>
          <cell r="B135">
            <v>1184</v>
          </cell>
          <cell r="C135">
            <v>0</v>
          </cell>
          <cell r="D135">
            <v>-955.24339999999995</v>
          </cell>
        </row>
        <row r="136">
          <cell r="A136">
            <v>100</v>
          </cell>
          <cell r="B136">
            <v>1187</v>
          </cell>
          <cell r="C136">
            <v>0</v>
          </cell>
          <cell r="D136">
            <v>10.912237000000005</v>
          </cell>
        </row>
        <row r="137">
          <cell r="A137">
            <v>100</v>
          </cell>
          <cell r="B137">
            <v>1189</v>
          </cell>
          <cell r="C137">
            <v>0</v>
          </cell>
          <cell r="D137">
            <v>-0.41168800000000005</v>
          </cell>
        </row>
        <row r="138">
          <cell r="A138">
            <v>100</v>
          </cell>
          <cell r="B138">
            <v>1211</v>
          </cell>
          <cell r="C138">
            <v>0</v>
          </cell>
          <cell r="D138">
            <v>-10.309421999999998</v>
          </cell>
        </row>
        <row r="139">
          <cell r="A139">
            <v>100</v>
          </cell>
          <cell r="B139">
            <v>1213</v>
          </cell>
          <cell r="C139">
            <v>0</v>
          </cell>
          <cell r="D139">
            <v>-1.0948069999995065</v>
          </cell>
        </row>
        <row r="140">
          <cell r="A140">
            <v>100</v>
          </cell>
          <cell r="B140">
            <v>1214</v>
          </cell>
          <cell r="C140">
            <v>0</v>
          </cell>
          <cell r="D140">
            <v>68.833334999999991</v>
          </cell>
        </row>
        <row r="141">
          <cell r="A141">
            <v>100</v>
          </cell>
          <cell r="B141">
            <v>1215</v>
          </cell>
          <cell r="C141">
            <v>0</v>
          </cell>
          <cell r="D141">
            <v>-8289.997327000001</v>
          </cell>
        </row>
        <row r="142">
          <cell r="A142">
            <v>100</v>
          </cell>
          <cell r="B142">
            <v>1216</v>
          </cell>
          <cell r="C142">
            <v>0</v>
          </cell>
          <cell r="D142">
            <v>-97.270820000000001</v>
          </cell>
        </row>
        <row r="143">
          <cell r="A143">
            <v>100</v>
          </cell>
          <cell r="B143">
            <v>1217</v>
          </cell>
          <cell r="C143">
            <v>0</v>
          </cell>
          <cell r="D143">
            <v>6.6344690000000002</v>
          </cell>
        </row>
        <row r="144">
          <cell r="A144">
            <v>100</v>
          </cell>
          <cell r="B144">
            <v>1219</v>
          </cell>
          <cell r="C144">
            <v>0</v>
          </cell>
          <cell r="D144">
            <v>-68</v>
          </cell>
        </row>
        <row r="145">
          <cell r="A145">
            <v>100</v>
          </cell>
          <cell r="B145">
            <v>1229</v>
          </cell>
          <cell r="C145">
            <v>0</v>
          </cell>
          <cell r="D145">
            <v>2626.408347</v>
          </cell>
        </row>
        <row r="146">
          <cell r="A146">
            <v>100</v>
          </cell>
          <cell r="B146">
            <v>1255</v>
          </cell>
          <cell r="C146">
            <v>7</v>
          </cell>
          <cell r="D146">
            <v>297.87889999999999</v>
          </cell>
        </row>
        <row r="147">
          <cell r="A147">
            <v>100</v>
          </cell>
          <cell r="B147">
            <v>1255</v>
          </cell>
          <cell r="C147">
            <v>8</v>
          </cell>
          <cell r="D147">
            <v>-100</v>
          </cell>
        </row>
        <row r="148">
          <cell r="A148">
            <v>100</v>
          </cell>
          <cell r="B148">
            <v>1279</v>
          </cell>
          <cell r="C148">
            <v>0</v>
          </cell>
          <cell r="D148">
            <v>0</v>
          </cell>
        </row>
        <row r="149">
          <cell r="A149">
            <v>100</v>
          </cell>
          <cell r="B149">
            <v>1622</v>
          </cell>
          <cell r="C149">
            <v>8</v>
          </cell>
          <cell r="D149">
            <v>-136.186667</v>
          </cell>
        </row>
        <row r="150">
          <cell r="A150">
            <v>100</v>
          </cell>
          <cell r="B150">
            <v>1622</v>
          </cell>
          <cell r="C150">
            <v>9</v>
          </cell>
          <cell r="D150">
            <v>-15.854044000000002</v>
          </cell>
        </row>
        <row r="151">
          <cell r="A151">
            <v>100</v>
          </cell>
          <cell r="B151">
            <v>1623</v>
          </cell>
          <cell r="C151">
            <v>9</v>
          </cell>
          <cell r="D151">
            <v>-86.986000000000004</v>
          </cell>
        </row>
        <row r="152">
          <cell r="A152">
            <v>100</v>
          </cell>
          <cell r="B152">
            <v>1625</v>
          </cell>
          <cell r="C152">
            <v>9</v>
          </cell>
          <cell r="D152">
            <v>-7384.3651260000006</v>
          </cell>
        </row>
        <row r="153">
          <cell r="A153">
            <v>100</v>
          </cell>
          <cell r="B153">
            <v>1711</v>
          </cell>
          <cell r="C153">
            <v>7</v>
          </cell>
          <cell r="D153">
            <v>5574.6769789999998</v>
          </cell>
        </row>
        <row r="154">
          <cell r="A154">
            <v>100</v>
          </cell>
          <cell r="B154">
            <v>1735</v>
          </cell>
          <cell r="C154">
            <v>7</v>
          </cell>
          <cell r="D154">
            <v>251.53455500000001</v>
          </cell>
        </row>
        <row r="155">
          <cell r="A155">
            <v>100</v>
          </cell>
          <cell r="B155">
            <v>2212</v>
          </cell>
          <cell r="C155">
            <v>0</v>
          </cell>
          <cell r="D155">
            <v>-14.595368000000063</v>
          </cell>
        </row>
        <row r="156">
          <cell r="A156">
            <v>100</v>
          </cell>
          <cell r="B156">
            <v>2213</v>
          </cell>
          <cell r="C156">
            <v>0</v>
          </cell>
          <cell r="D156">
            <v>100.34533800000001</v>
          </cell>
        </row>
        <row r="157">
          <cell r="A157">
            <v>100</v>
          </cell>
          <cell r="B157">
            <v>2215</v>
          </cell>
          <cell r="C157">
            <v>0</v>
          </cell>
          <cell r="D157">
            <v>8.7475079999999998</v>
          </cell>
        </row>
        <row r="158">
          <cell r="A158">
            <v>100</v>
          </cell>
          <cell r="B158">
            <v>2216</v>
          </cell>
          <cell r="C158">
            <v>0</v>
          </cell>
          <cell r="D158">
            <v>-17.747478999999995</v>
          </cell>
        </row>
        <row r="159">
          <cell r="A159">
            <v>100</v>
          </cell>
          <cell r="B159">
            <v>2218</v>
          </cell>
          <cell r="C159">
            <v>0</v>
          </cell>
          <cell r="D159">
            <v>-106.140851</v>
          </cell>
        </row>
        <row r="160">
          <cell r="A160">
            <v>100</v>
          </cell>
          <cell r="B160">
            <v>2275</v>
          </cell>
          <cell r="C160">
            <v>0</v>
          </cell>
          <cell r="D160">
            <v>74.712861000000274</v>
          </cell>
        </row>
        <row r="161">
          <cell r="A161">
            <v>100</v>
          </cell>
          <cell r="B161">
            <v>2634</v>
          </cell>
          <cell r="C161">
            <v>9</v>
          </cell>
          <cell r="D161">
            <v>-268.52</v>
          </cell>
        </row>
        <row r="162">
          <cell r="A162">
            <v>100</v>
          </cell>
          <cell r="B162">
            <v>2635</v>
          </cell>
          <cell r="C162">
            <v>9</v>
          </cell>
          <cell r="D162">
            <v>2132</v>
          </cell>
        </row>
        <row r="163">
          <cell r="A163">
            <v>100</v>
          </cell>
          <cell r="B163">
            <v>2636</v>
          </cell>
          <cell r="C163">
            <v>9</v>
          </cell>
          <cell r="D163">
            <v>428.16</v>
          </cell>
        </row>
        <row r="164">
          <cell r="A164">
            <v>100</v>
          </cell>
          <cell r="B164">
            <v>3136</v>
          </cell>
          <cell r="C164">
            <v>0</v>
          </cell>
          <cell r="D164">
            <v>29413.911208999998</v>
          </cell>
        </row>
        <row r="165">
          <cell r="A165">
            <v>100</v>
          </cell>
          <cell r="B165">
            <v>3226</v>
          </cell>
          <cell r="C165">
            <v>0</v>
          </cell>
          <cell r="D165">
            <v>-39663.154276000001</v>
          </cell>
        </row>
        <row r="166">
          <cell r="A166">
            <v>100</v>
          </cell>
          <cell r="B166">
            <v>12111</v>
          </cell>
          <cell r="C166">
            <v>0</v>
          </cell>
          <cell r="D166">
            <v>-59.736655000001321</v>
          </cell>
        </row>
        <row r="167">
          <cell r="A167">
            <v>100</v>
          </cell>
          <cell r="B167">
            <v>12122</v>
          </cell>
          <cell r="C167">
            <v>0</v>
          </cell>
          <cell r="D167">
            <v>16.930771</v>
          </cell>
        </row>
        <row r="168">
          <cell r="A168">
            <v>100</v>
          </cell>
          <cell r="B168">
            <v>12123</v>
          </cell>
          <cell r="C168">
            <v>0</v>
          </cell>
          <cell r="D168">
            <v>-42.599700000000006</v>
          </cell>
        </row>
        <row r="169">
          <cell r="A169">
            <v>100</v>
          </cell>
          <cell r="B169">
            <v>12152</v>
          </cell>
          <cell r="C169">
            <v>0</v>
          </cell>
          <cell r="D169">
            <v>92153.952520999999</v>
          </cell>
        </row>
        <row r="170">
          <cell r="A170">
            <v>100</v>
          </cell>
          <cell r="B170">
            <v>12161</v>
          </cell>
          <cell r="C170">
            <v>0</v>
          </cell>
          <cell r="D170">
            <v>7.2000269999999968</v>
          </cell>
        </row>
        <row r="171">
          <cell r="A171">
            <v>100</v>
          </cell>
          <cell r="B171">
            <v>12166</v>
          </cell>
          <cell r="C171">
            <v>0</v>
          </cell>
          <cell r="D171">
            <v>1.3372999999999999E-2</v>
          </cell>
        </row>
        <row r="172">
          <cell r="A172">
            <v>100</v>
          </cell>
          <cell r="B172">
            <v>12168</v>
          </cell>
          <cell r="C172">
            <v>0</v>
          </cell>
          <cell r="D172">
            <v>-0.27347100000000002</v>
          </cell>
        </row>
        <row r="173">
          <cell r="A173">
            <v>100</v>
          </cell>
          <cell r="B173">
            <v>12171</v>
          </cell>
          <cell r="C173">
            <v>0</v>
          </cell>
          <cell r="D173">
            <v>-9.5957030000000021</v>
          </cell>
        </row>
        <row r="174">
          <cell r="A174">
            <v>100</v>
          </cell>
          <cell r="B174">
            <v>12560</v>
          </cell>
          <cell r="C174">
            <v>0</v>
          </cell>
          <cell r="D174">
            <v>917.37488000000008</v>
          </cell>
        </row>
        <row r="175">
          <cell r="A175">
            <v>100</v>
          </cell>
          <cell r="B175">
            <v>12565</v>
          </cell>
          <cell r="C175">
            <v>0</v>
          </cell>
          <cell r="D175">
            <v>-11.745123</v>
          </cell>
        </row>
        <row r="176">
          <cell r="A176">
            <v>100</v>
          </cell>
          <cell r="B176">
            <v>12591</v>
          </cell>
          <cell r="C176">
            <v>0</v>
          </cell>
          <cell r="D176">
            <v>-0.69323399999999991</v>
          </cell>
        </row>
        <row r="177">
          <cell r="A177">
            <v>100</v>
          </cell>
          <cell r="B177">
            <v>13101</v>
          </cell>
          <cell r="C177">
            <v>0</v>
          </cell>
          <cell r="D177">
            <v>70842.801283000008</v>
          </cell>
        </row>
        <row r="178">
          <cell r="A178">
            <v>100</v>
          </cell>
          <cell r="B178">
            <v>13102</v>
          </cell>
          <cell r="C178">
            <v>0</v>
          </cell>
          <cell r="D178">
            <v>60754.498757000001</v>
          </cell>
        </row>
        <row r="179">
          <cell r="A179">
            <v>100</v>
          </cell>
          <cell r="B179">
            <v>13103</v>
          </cell>
          <cell r="C179">
            <v>0</v>
          </cell>
          <cell r="D179">
            <v>122955.9705309999</v>
          </cell>
        </row>
        <row r="180">
          <cell r="A180">
            <v>100</v>
          </cell>
          <cell r="B180">
            <v>13104</v>
          </cell>
          <cell r="C180">
            <v>0</v>
          </cell>
          <cell r="D180">
            <v>70774.582028000004</v>
          </cell>
        </row>
        <row r="181">
          <cell r="A181">
            <v>100</v>
          </cell>
          <cell r="B181">
            <v>13107</v>
          </cell>
          <cell r="C181">
            <v>0</v>
          </cell>
          <cell r="D181">
            <v>-1167.0032900000001</v>
          </cell>
        </row>
        <row r="182">
          <cell r="A182">
            <v>100</v>
          </cell>
          <cell r="B182">
            <v>13108</v>
          </cell>
          <cell r="C182">
            <v>0</v>
          </cell>
          <cell r="D182">
            <v>-804.57593599999996</v>
          </cell>
        </row>
        <row r="183">
          <cell r="A183">
            <v>100</v>
          </cell>
          <cell r="B183">
            <v>13109</v>
          </cell>
          <cell r="C183">
            <v>0</v>
          </cell>
          <cell r="D183">
            <v>-277327.61700199998</v>
          </cell>
        </row>
        <row r="184">
          <cell r="A184">
            <v>100</v>
          </cell>
          <cell r="B184">
            <v>16122</v>
          </cell>
          <cell r="C184">
            <v>7</v>
          </cell>
          <cell r="D184">
            <v>10000</v>
          </cell>
        </row>
        <row r="185">
          <cell r="A185">
            <v>100</v>
          </cell>
          <cell r="B185">
            <v>16122</v>
          </cell>
          <cell r="C185">
            <v>8</v>
          </cell>
          <cell r="D185">
            <v>-2977.6073510000001</v>
          </cell>
        </row>
        <row r="186">
          <cell r="A186">
            <v>100</v>
          </cell>
          <cell r="B186">
            <v>16122</v>
          </cell>
          <cell r="C186">
            <v>9</v>
          </cell>
          <cell r="D186">
            <v>1352.2585829999998</v>
          </cell>
        </row>
        <row r="187">
          <cell r="A187">
            <v>100</v>
          </cell>
          <cell r="B187">
            <v>16126</v>
          </cell>
          <cell r="C187">
            <v>8</v>
          </cell>
          <cell r="D187">
            <v>-31.783743000000001</v>
          </cell>
        </row>
        <row r="188">
          <cell r="A188">
            <v>100</v>
          </cell>
          <cell r="B188">
            <v>16126</v>
          </cell>
          <cell r="C188">
            <v>9</v>
          </cell>
          <cell r="D188">
            <v>26.074425999999999</v>
          </cell>
        </row>
        <row r="189">
          <cell r="A189">
            <v>100</v>
          </cell>
          <cell r="B189">
            <v>16127</v>
          </cell>
          <cell r="C189">
            <v>8</v>
          </cell>
          <cell r="D189">
            <v>-0.953152</v>
          </cell>
        </row>
        <row r="190">
          <cell r="A190">
            <v>100</v>
          </cell>
          <cell r="B190">
            <v>16127</v>
          </cell>
          <cell r="C190">
            <v>9</v>
          </cell>
          <cell r="D190">
            <v>0.75505200000000006</v>
          </cell>
        </row>
        <row r="191">
          <cell r="A191">
            <v>100</v>
          </cell>
          <cell r="B191">
            <v>16132</v>
          </cell>
          <cell r="C191">
            <v>9</v>
          </cell>
          <cell r="D191">
            <v>6.6010849999999994</v>
          </cell>
        </row>
        <row r="192">
          <cell r="A192">
            <v>100</v>
          </cell>
          <cell r="B192">
            <v>16142</v>
          </cell>
          <cell r="C192">
            <v>8</v>
          </cell>
          <cell r="D192">
            <v>-36.085011000000002</v>
          </cell>
        </row>
        <row r="193">
          <cell r="A193">
            <v>100</v>
          </cell>
          <cell r="B193">
            <v>16142</v>
          </cell>
          <cell r="C193">
            <v>9</v>
          </cell>
          <cell r="D193">
            <v>3.7803630000000004</v>
          </cell>
        </row>
        <row r="194">
          <cell r="A194">
            <v>100</v>
          </cell>
          <cell r="B194">
            <v>16151</v>
          </cell>
          <cell r="C194">
            <v>7</v>
          </cell>
          <cell r="D194">
            <v>68</v>
          </cell>
        </row>
        <row r="195">
          <cell r="A195">
            <v>100</v>
          </cell>
          <cell r="B195">
            <v>16152</v>
          </cell>
          <cell r="C195">
            <v>8</v>
          </cell>
          <cell r="D195">
            <v>-13.121580999999999</v>
          </cell>
        </row>
        <row r="196">
          <cell r="A196">
            <v>100</v>
          </cell>
          <cell r="B196">
            <v>16152</v>
          </cell>
          <cell r="C196">
            <v>9</v>
          </cell>
          <cell r="D196">
            <v>3.8016959999999989</v>
          </cell>
        </row>
        <row r="197">
          <cell r="A197">
            <v>100</v>
          </cell>
          <cell r="B197">
            <v>16162</v>
          </cell>
          <cell r="C197">
            <v>8</v>
          </cell>
          <cell r="D197">
            <v>-1.626174</v>
          </cell>
        </row>
        <row r="198">
          <cell r="A198">
            <v>100</v>
          </cell>
          <cell r="B198">
            <v>16162</v>
          </cell>
          <cell r="C198">
            <v>9</v>
          </cell>
          <cell r="D198">
            <v>0.96610299999999982</v>
          </cell>
        </row>
        <row r="199">
          <cell r="A199">
            <v>100</v>
          </cell>
          <cell r="B199">
            <v>22003</v>
          </cell>
          <cell r="C199">
            <v>0</v>
          </cell>
          <cell r="D199">
            <v>1.3792E-2</v>
          </cell>
        </row>
        <row r="200">
          <cell r="A200">
            <v>100</v>
          </cell>
          <cell r="B200">
            <v>22011</v>
          </cell>
          <cell r="C200">
            <v>0</v>
          </cell>
          <cell r="D200">
            <v>-8.4103309999999993</v>
          </cell>
        </row>
        <row r="201">
          <cell r="A201">
            <v>100</v>
          </cell>
          <cell r="B201">
            <v>22016</v>
          </cell>
          <cell r="C201">
            <v>0</v>
          </cell>
          <cell r="D201">
            <v>172.594381</v>
          </cell>
        </row>
        <row r="202">
          <cell r="A202">
            <v>100</v>
          </cell>
          <cell r="B202">
            <v>22017</v>
          </cell>
          <cell r="C202">
            <v>0</v>
          </cell>
          <cell r="D202">
            <v>19.655329999999999</v>
          </cell>
        </row>
        <row r="203">
          <cell r="A203">
            <v>100</v>
          </cell>
          <cell r="B203">
            <v>22019</v>
          </cell>
          <cell r="C203">
            <v>0</v>
          </cell>
          <cell r="D203">
            <v>9.9449820000000013</v>
          </cell>
        </row>
        <row r="204">
          <cell r="A204">
            <v>100</v>
          </cell>
          <cell r="B204">
            <v>22151</v>
          </cell>
          <cell r="C204">
            <v>0</v>
          </cell>
          <cell r="D204">
            <v>-77.102753000000007</v>
          </cell>
        </row>
        <row r="205">
          <cell r="A205">
            <v>100</v>
          </cell>
          <cell r="B205">
            <v>22152</v>
          </cell>
          <cell r="C205">
            <v>0</v>
          </cell>
          <cell r="D205">
            <v>138.61498499999996</v>
          </cell>
        </row>
        <row r="206">
          <cell r="A206">
            <v>100</v>
          </cell>
          <cell r="B206">
            <v>22161</v>
          </cell>
          <cell r="C206">
            <v>0</v>
          </cell>
          <cell r="D206">
            <v>120.45240100000001</v>
          </cell>
        </row>
        <row r="207">
          <cell r="A207">
            <v>100</v>
          </cell>
          <cell r="B207">
            <v>22164</v>
          </cell>
          <cell r="C207">
            <v>0</v>
          </cell>
          <cell r="D207">
            <v>556.45664699999986</v>
          </cell>
        </row>
        <row r="208">
          <cell r="A208">
            <v>100</v>
          </cell>
          <cell r="B208">
            <v>22178</v>
          </cell>
          <cell r="C208">
            <v>0</v>
          </cell>
          <cell r="D208">
            <v>5.0738729999999999</v>
          </cell>
        </row>
        <row r="209">
          <cell r="A209">
            <v>100</v>
          </cell>
          <cell r="B209">
            <v>22179</v>
          </cell>
          <cell r="C209">
            <v>0</v>
          </cell>
          <cell r="D209">
            <v>-62.546292000000008</v>
          </cell>
        </row>
        <row r="210">
          <cell r="A210">
            <v>100</v>
          </cell>
          <cell r="B210">
            <v>22191</v>
          </cell>
          <cell r="C210">
            <v>0</v>
          </cell>
          <cell r="D210">
            <v>1848.0505049999999</v>
          </cell>
        </row>
        <row r="211">
          <cell r="A211">
            <v>100</v>
          </cell>
          <cell r="B211">
            <v>22195</v>
          </cell>
          <cell r="C211">
            <v>0</v>
          </cell>
          <cell r="D211">
            <v>38.381481999999998</v>
          </cell>
        </row>
        <row r="212">
          <cell r="A212">
            <v>100</v>
          </cell>
          <cell r="B212">
            <v>26162</v>
          </cell>
          <cell r="C212">
            <v>8</v>
          </cell>
          <cell r="D212">
            <v>0.46782999999999997</v>
          </cell>
        </row>
        <row r="213">
          <cell r="A213">
            <v>100</v>
          </cell>
          <cell r="B213">
            <v>26162</v>
          </cell>
          <cell r="C213">
            <v>9</v>
          </cell>
          <cell r="D213">
            <v>-0.16351500000000002</v>
          </cell>
        </row>
        <row r="214">
          <cell r="A214">
            <v>100</v>
          </cell>
          <cell r="B214">
            <v>26165</v>
          </cell>
          <cell r="C214">
            <v>8</v>
          </cell>
          <cell r="D214">
            <v>1462.47216</v>
          </cell>
        </row>
        <row r="215">
          <cell r="A215">
            <v>100</v>
          </cell>
          <cell r="B215">
            <v>26165</v>
          </cell>
          <cell r="C215">
            <v>9</v>
          </cell>
          <cell r="D215">
            <v>-778.55662700000005</v>
          </cell>
        </row>
        <row r="216">
          <cell r="A216">
            <v>100</v>
          </cell>
          <cell r="B216">
            <v>26190</v>
          </cell>
          <cell r="C216">
            <v>7</v>
          </cell>
          <cell r="D216">
            <v>-3583.2780360000002</v>
          </cell>
        </row>
        <row r="217">
          <cell r="A217">
            <v>100</v>
          </cell>
          <cell r="B217">
            <v>26196</v>
          </cell>
          <cell r="C217">
            <v>7</v>
          </cell>
          <cell r="D217">
            <v>-1564.7740090000002</v>
          </cell>
        </row>
        <row r="218">
          <cell r="A218">
            <v>100</v>
          </cell>
          <cell r="B218">
            <v>26199</v>
          </cell>
          <cell r="C218">
            <v>9</v>
          </cell>
          <cell r="D218">
            <v>0</v>
          </cell>
        </row>
        <row r="219">
          <cell r="A219">
            <v>100</v>
          </cell>
          <cell r="B219">
            <v>27792</v>
          </cell>
          <cell r="C219">
            <v>0</v>
          </cell>
          <cell r="D219">
            <v>50.444175999999999</v>
          </cell>
        </row>
        <row r="220">
          <cell r="A220">
            <v>100</v>
          </cell>
          <cell r="B220">
            <v>31121</v>
          </cell>
          <cell r="C220">
            <v>0</v>
          </cell>
          <cell r="D220">
            <v>6508.9964359999994</v>
          </cell>
        </row>
        <row r="221">
          <cell r="A221">
            <v>198</v>
          </cell>
          <cell r="B221">
            <v>1623</v>
          </cell>
          <cell r="C221">
            <v>7</v>
          </cell>
          <cell r="D221">
            <v>8012.9973019999998</v>
          </cell>
        </row>
        <row r="222">
          <cell r="A222">
            <v>198</v>
          </cell>
          <cell r="B222">
            <v>1623</v>
          </cell>
          <cell r="C222">
            <v>8</v>
          </cell>
          <cell r="D222">
            <v>-56871.499190000002</v>
          </cell>
        </row>
        <row r="223">
          <cell r="A223">
            <v>198</v>
          </cell>
          <cell r="B223">
            <v>1623</v>
          </cell>
          <cell r="C223">
            <v>9</v>
          </cell>
          <cell r="D223">
            <v>-23320.943347</v>
          </cell>
        </row>
        <row r="224">
          <cell r="A224">
            <v>198</v>
          </cell>
          <cell r="B224">
            <v>16131</v>
          </cell>
          <cell r="C224">
            <v>8</v>
          </cell>
          <cell r="D224">
            <v>-6500</v>
          </cell>
        </row>
        <row r="225">
          <cell r="A225">
            <v>198</v>
          </cell>
          <cell r="B225">
            <v>26132</v>
          </cell>
          <cell r="C225">
            <v>9</v>
          </cell>
          <cell r="D225">
            <v>-3533.2359529999994</v>
          </cell>
        </row>
        <row r="226">
          <cell r="A226">
            <v>200</v>
          </cell>
          <cell r="B226">
            <v>2275</v>
          </cell>
          <cell r="C226">
            <v>0</v>
          </cell>
          <cell r="D226">
            <v>-506.16137699999996</v>
          </cell>
        </row>
        <row r="227">
          <cell r="A227">
            <v>200</v>
          </cell>
          <cell r="B227">
            <v>22141</v>
          </cell>
          <cell r="C227">
            <v>0</v>
          </cell>
          <cell r="D227">
            <v>-6.3528390000000003</v>
          </cell>
        </row>
        <row r="228">
          <cell r="A228">
            <v>300</v>
          </cell>
          <cell r="B228">
            <v>2275</v>
          </cell>
          <cell r="C228">
            <v>0</v>
          </cell>
          <cell r="D228">
            <v>1399.8564319999998</v>
          </cell>
        </row>
        <row r="229">
          <cell r="A229">
            <v>300</v>
          </cell>
          <cell r="B229">
            <v>22171</v>
          </cell>
          <cell r="C229">
            <v>0</v>
          </cell>
          <cell r="D229">
            <v>-0.13350000000000001</v>
          </cell>
        </row>
        <row r="230">
          <cell r="A230">
            <v>300</v>
          </cell>
          <cell r="B230">
            <v>22173</v>
          </cell>
          <cell r="C230">
            <v>0</v>
          </cell>
          <cell r="D230">
            <v>-0.11200400000000021</v>
          </cell>
        </row>
        <row r="231">
          <cell r="A231">
            <v>300</v>
          </cell>
          <cell r="B231">
            <v>22174</v>
          </cell>
          <cell r="C231">
            <v>0</v>
          </cell>
          <cell r="D231">
            <v>0.13350000000000001</v>
          </cell>
        </row>
        <row r="232">
          <cell r="A232">
            <v>300</v>
          </cell>
          <cell r="B232">
            <v>22179</v>
          </cell>
          <cell r="C232">
            <v>0</v>
          </cell>
          <cell r="D232">
            <v>62.546292000000037</v>
          </cell>
        </row>
        <row r="233">
          <cell r="A233">
            <v>400</v>
          </cell>
          <cell r="B233">
            <v>2634</v>
          </cell>
          <cell r="C233">
            <v>7</v>
          </cell>
          <cell r="D233">
            <v>-64055.31</v>
          </cell>
        </row>
        <row r="234">
          <cell r="A234">
            <v>400</v>
          </cell>
          <cell r="B234">
            <v>2634</v>
          </cell>
          <cell r="C234">
            <v>8</v>
          </cell>
          <cell r="D234">
            <v>6604.9197199999999</v>
          </cell>
        </row>
        <row r="235">
          <cell r="A235">
            <v>400</v>
          </cell>
          <cell r="B235">
            <v>2634</v>
          </cell>
          <cell r="C235">
            <v>9</v>
          </cell>
          <cell r="D235">
            <v>8415.7462799999994</v>
          </cell>
        </row>
        <row r="236">
          <cell r="A236">
            <v>400</v>
          </cell>
          <cell r="B236">
            <v>2635</v>
          </cell>
          <cell r="C236">
            <v>8</v>
          </cell>
          <cell r="D236">
            <v>56871.499190000002</v>
          </cell>
        </row>
        <row r="237">
          <cell r="A237">
            <v>400</v>
          </cell>
          <cell r="B237">
            <v>2635</v>
          </cell>
          <cell r="C237">
            <v>9</v>
          </cell>
          <cell r="D237">
            <v>28193.257809999999</v>
          </cell>
        </row>
        <row r="238">
          <cell r="A238">
            <v>400</v>
          </cell>
          <cell r="B238">
            <v>2636</v>
          </cell>
          <cell r="C238">
            <v>7</v>
          </cell>
          <cell r="D238">
            <v>-75411.762302000003</v>
          </cell>
        </row>
        <row r="239">
          <cell r="A239">
            <v>400</v>
          </cell>
          <cell r="B239">
            <v>2636</v>
          </cell>
          <cell r="C239">
            <v>9</v>
          </cell>
          <cell r="D239">
            <v>5577.8123020000003</v>
          </cell>
        </row>
        <row r="240">
          <cell r="A240">
            <v>400</v>
          </cell>
          <cell r="B240">
            <v>22355</v>
          </cell>
          <cell r="C240">
            <v>7</v>
          </cell>
          <cell r="D240">
            <v>-131023</v>
          </cell>
        </row>
        <row r="241">
          <cell r="A241">
            <v>400</v>
          </cell>
          <cell r="B241">
            <v>22355</v>
          </cell>
          <cell r="C241">
            <v>8</v>
          </cell>
          <cell r="D241">
            <v>139272</v>
          </cell>
        </row>
        <row r="242">
          <cell r="A242">
            <v>400</v>
          </cell>
          <cell r="B242">
            <v>26190</v>
          </cell>
          <cell r="C242">
            <v>7</v>
          </cell>
          <cell r="D242">
            <v>-99880.483804999996</v>
          </cell>
        </row>
        <row r="243">
          <cell r="A243">
            <v>400</v>
          </cell>
          <cell r="B243">
            <v>26190</v>
          </cell>
          <cell r="C243">
            <v>8</v>
          </cell>
          <cell r="D243">
            <v>70582.7</v>
          </cell>
        </row>
        <row r="244">
          <cell r="A244">
            <v>400</v>
          </cell>
          <cell r="B244">
            <v>26196</v>
          </cell>
          <cell r="C244">
            <v>7</v>
          </cell>
          <cell r="D244">
            <v>-24728.849355000002</v>
          </cell>
        </row>
        <row r="245">
          <cell r="A245">
            <v>400</v>
          </cell>
          <cell r="B245">
            <v>26196</v>
          </cell>
          <cell r="C245">
            <v>9</v>
          </cell>
          <cell r="D245">
            <v>-57.245829999999998</v>
          </cell>
        </row>
        <row r="246">
          <cell r="A246">
            <v>400</v>
          </cell>
          <cell r="B246">
            <v>26198</v>
          </cell>
          <cell r="C246">
            <v>8</v>
          </cell>
          <cell r="D246">
            <v>807.01576599999999</v>
          </cell>
        </row>
        <row r="247">
          <cell r="A247">
            <v>400</v>
          </cell>
          <cell r="B247">
            <v>26198</v>
          </cell>
          <cell r="C247">
            <v>9</v>
          </cell>
          <cell r="D247">
            <v>-549.95574299999998</v>
          </cell>
        </row>
        <row r="248">
          <cell r="A248">
            <v>400</v>
          </cell>
          <cell r="B248">
            <v>26199</v>
          </cell>
          <cell r="C248">
            <v>7</v>
          </cell>
          <cell r="D248">
            <v>-435.33064999999999</v>
          </cell>
        </row>
        <row r="249">
          <cell r="A249">
            <v>400</v>
          </cell>
          <cell r="B249">
            <v>26199</v>
          </cell>
          <cell r="C249">
            <v>8</v>
          </cell>
          <cell r="D249">
            <v>-81.627762000000004</v>
          </cell>
        </row>
        <row r="250">
          <cell r="A250">
            <v>400</v>
          </cell>
          <cell r="B250">
            <v>26199</v>
          </cell>
          <cell r="C250">
            <v>9</v>
          </cell>
          <cell r="D250">
            <v>103.855552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íða"/>
      <sheetName val="Nýtt yfirlit 1"/>
      <sheetName val="Y2"/>
      <sheetName val="Y3"/>
      <sheetName val="Y4"/>
      <sheetName val="Y5"/>
      <sheetName val="Y6"/>
      <sheetName val="Y7"/>
      <sheetName val="Y8"/>
      <sheetName val="Y13"/>
      <sheetName val="MANUDUR"/>
      <sheetName val="Áætlun"/>
      <sheetName val="EFN_MMB_"/>
      <sheetName val="EFN_HMB_"/>
      <sheetName val="EFN_MAN_"/>
      <sheetName val="Efn_FA"/>
      <sheetName val="EFN_F2"/>
      <sheetName val="Efn_fa_h"/>
      <sheetName val="EFN_FAL"/>
      <sheetName val="efn_f2l"/>
      <sheetName val="mal"/>
      <sheetName val="mal_fa"/>
      <sheetName val="Fjárlög_sund"/>
      <sheetName val="tegsun"/>
      <sheetName val="Tegsun_fyrra"/>
      <sheetName val="Fjarh_man"/>
      <sheetName val="TEKJUR"/>
      <sheetName val="TEKJUR_M"/>
      <sheetName val="TEKJU_FA"/>
      <sheetName val="Fjárheimild mánaða tekjur"/>
      <sheetName val="FJARLTEK"/>
      <sheetName val="Efnahag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Viðfang</v>
          </cell>
          <cell r="B1" t="str">
            <v>Tegund</v>
          </cell>
          <cell r="C1" t="str">
            <v>Mánuður</v>
          </cell>
          <cell r="D1" t="str">
            <v>Lokastaða</v>
          </cell>
        </row>
        <row r="2">
          <cell r="A2">
            <v>100</v>
          </cell>
          <cell r="B2">
            <v>1110</v>
          </cell>
          <cell r="C2">
            <v>0</v>
          </cell>
          <cell r="D2">
            <v>2.6559999999999999E-3</v>
          </cell>
        </row>
        <row r="3">
          <cell r="A3">
            <v>100</v>
          </cell>
          <cell r="B3">
            <v>1111</v>
          </cell>
          <cell r="C3">
            <v>-11.493366</v>
          </cell>
          <cell r="D3">
            <v>7.2150460000000001</v>
          </cell>
        </row>
        <row r="4">
          <cell r="A4">
            <v>100</v>
          </cell>
          <cell r="B4">
            <v>1113</v>
          </cell>
          <cell r="C4">
            <v>8.7859000000000007E-2</v>
          </cell>
          <cell r="D4">
            <v>0.51412599999999997</v>
          </cell>
        </row>
        <row r="5">
          <cell r="A5">
            <v>100</v>
          </cell>
          <cell r="B5">
            <v>1118</v>
          </cell>
          <cell r="C5">
            <v>-2.6927720000000002</v>
          </cell>
          <cell r="D5">
            <v>1.999827</v>
          </cell>
        </row>
        <row r="6">
          <cell r="A6">
            <v>100</v>
          </cell>
          <cell r="B6">
            <v>1120</v>
          </cell>
          <cell r="C6">
            <v>508.67121300000002</v>
          </cell>
          <cell r="D6">
            <v>4968.6091399999996</v>
          </cell>
        </row>
        <row r="7">
          <cell r="A7">
            <v>100</v>
          </cell>
          <cell r="B7">
            <v>1124</v>
          </cell>
          <cell r="C7">
            <v>284.50613499999997</v>
          </cell>
          <cell r="D7">
            <v>-172.34326300000001</v>
          </cell>
        </row>
        <row r="8">
          <cell r="A8">
            <v>100</v>
          </cell>
          <cell r="B8">
            <v>1126</v>
          </cell>
          <cell r="C8">
            <v>269.06129299999998</v>
          </cell>
          <cell r="D8">
            <v>86.10136</v>
          </cell>
        </row>
        <row r="9">
          <cell r="A9">
            <v>100</v>
          </cell>
          <cell r="B9">
            <v>1127</v>
          </cell>
          <cell r="C9">
            <v>-11.608363000000001</v>
          </cell>
          <cell r="D9">
            <v>-158.80878999999999</v>
          </cell>
        </row>
        <row r="10">
          <cell r="A10">
            <v>100</v>
          </cell>
          <cell r="B10">
            <v>1128</v>
          </cell>
          <cell r="C10">
            <v>2.9713120000000002</v>
          </cell>
          <cell r="D10">
            <v>65.978847000000002</v>
          </cell>
        </row>
        <row r="11">
          <cell r="A11">
            <v>100</v>
          </cell>
          <cell r="B11">
            <v>1129</v>
          </cell>
          <cell r="C11">
            <v>1.0423089999999999</v>
          </cell>
          <cell r="D11">
            <v>23.754418999999999</v>
          </cell>
        </row>
        <row r="12">
          <cell r="A12">
            <v>100</v>
          </cell>
          <cell r="B12">
            <v>1139</v>
          </cell>
          <cell r="C12">
            <v>0</v>
          </cell>
          <cell r="D12">
            <v>0</v>
          </cell>
        </row>
        <row r="13">
          <cell r="A13">
            <v>100</v>
          </cell>
          <cell r="B13">
            <v>1142</v>
          </cell>
          <cell r="C13">
            <v>11.012292</v>
          </cell>
          <cell r="D13">
            <v>-49.833444</v>
          </cell>
        </row>
        <row r="14">
          <cell r="A14">
            <v>100</v>
          </cell>
          <cell r="B14">
            <v>1144</v>
          </cell>
          <cell r="C14">
            <v>19.941500000000001</v>
          </cell>
          <cell r="D14">
            <v>56.587738000000002</v>
          </cell>
        </row>
        <row r="15">
          <cell r="A15">
            <v>100</v>
          </cell>
          <cell r="B15">
            <v>1146</v>
          </cell>
          <cell r="C15">
            <v>9.8135159999999999</v>
          </cell>
          <cell r="D15">
            <v>89.123063000000002</v>
          </cell>
        </row>
        <row r="16">
          <cell r="A16">
            <v>100</v>
          </cell>
          <cell r="B16">
            <v>1147</v>
          </cell>
          <cell r="C16">
            <v>-4.1744680000000001</v>
          </cell>
          <cell r="D16">
            <v>-14.002402999999999</v>
          </cell>
        </row>
        <row r="17">
          <cell r="A17">
            <v>100</v>
          </cell>
          <cell r="B17">
            <v>1148</v>
          </cell>
          <cell r="C17">
            <v>-65.760311999999999</v>
          </cell>
          <cell r="D17">
            <v>-16.423345999999999</v>
          </cell>
        </row>
        <row r="18">
          <cell r="A18">
            <v>100</v>
          </cell>
          <cell r="B18">
            <v>1149</v>
          </cell>
          <cell r="C18">
            <v>0</v>
          </cell>
          <cell r="D18">
            <v>-0.30432500000000001</v>
          </cell>
        </row>
        <row r="19">
          <cell r="A19">
            <v>100</v>
          </cell>
          <cell r="B19">
            <v>1181</v>
          </cell>
          <cell r="C19">
            <v>-1.9365779999999999</v>
          </cell>
          <cell r="D19">
            <v>-23.648408</v>
          </cell>
        </row>
        <row r="20">
          <cell r="A20">
            <v>100</v>
          </cell>
          <cell r="B20">
            <v>1183</v>
          </cell>
          <cell r="C20">
            <v>-34.375498</v>
          </cell>
          <cell r="D20">
            <v>-28.192899000000001</v>
          </cell>
        </row>
        <row r="21">
          <cell r="A21">
            <v>100</v>
          </cell>
          <cell r="B21">
            <v>1184</v>
          </cell>
          <cell r="C21">
            <v>-0.99605999999999995</v>
          </cell>
          <cell r="D21">
            <v>-45.211770000000001</v>
          </cell>
        </row>
        <row r="22">
          <cell r="A22">
            <v>100</v>
          </cell>
          <cell r="B22">
            <v>1186</v>
          </cell>
          <cell r="C22">
            <v>0</v>
          </cell>
          <cell r="D22">
            <v>-5.3005370000000003</v>
          </cell>
        </row>
        <row r="23">
          <cell r="A23">
            <v>100</v>
          </cell>
          <cell r="B23">
            <v>1191</v>
          </cell>
          <cell r="C23">
            <v>-77.954364999999996</v>
          </cell>
          <cell r="D23">
            <v>518.09734900000001</v>
          </cell>
        </row>
        <row r="24">
          <cell r="A24">
            <v>100</v>
          </cell>
          <cell r="B24">
            <v>1192</v>
          </cell>
          <cell r="C24">
            <v>-23.182062999999999</v>
          </cell>
          <cell r="D24">
            <v>-9.8426390000000001</v>
          </cell>
        </row>
        <row r="25">
          <cell r="A25">
            <v>100</v>
          </cell>
          <cell r="B25">
            <v>1193</v>
          </cell>
          <cell r="C25">
            <v>-71.052777000000006</v>
          </cell>
          <cell r="D25">
            <v>19.275003000000002</v>
          </cell>
        </row>
        <row r="26">
          <cell r="A26">
            <v>100</v>
          </cell>
          <cell r="B26">
            <v>1194</v>
          </cell>
          <cell r="C26">
            <v>-12.763210000000001</v>
          </cell>
          <cell r="D26">
            <v>-11.678782999999999</v>
          </cell>
        </row>
        <row r="27">
          <cell r="A27">
            <v>100</v>
          </cell>
          <cell r="B27">
            <v>1195</v>
          </cell>
          <cell r="C27">
            <v>-6.1114459999999999</v>
          </cell>
          <cell r="D27">
            <v>4.0669570000000004</v>
          </cell>
        </row>
        <row r="28">
          <cell r="A28">
            <v>100</v>
          </cell>
          <cell r="B28">
            <v>1196</v>
          </cell>
          <cell r="C28">
            <v>-7.1980459999999997</v>
          </cell>
          <cell r="D28">
            <v>8.26098</v>
          </cell>
        </row>
        <row r="29">
          <cell r="A29">
            <v>100</v>
          </cell>
          <cell r="B29">
            <v>1197</v>
          </cell>
          <cell r="C29">
            <v>-5.2903099999999998</v>
          </cell>
          <cell r="D29">
            <v>0.36685000000000001</v>
          </cell>
        </row>
        <row r="30">
          <cell r="A30">
            <v>100</v>
          </cell>
          <cell r="B30">
            <v>1199</v>
          </cell>
          <cell r="C30">
            <v>-12.406306000000001</v>
          </cell>
          <cell r="D30">
            <v>-5.0663</v>
          </cell>
        </row>
        <row r="31">
          <cell r="A31">
            <v>100</v>
          </cell>
          <cell r="B31">
            <v>1210</v>
          </cell>
          <cell r="C31">
            <v>35.95326</v>
          </cell>
          <cell r="D31">
            <v>-56.698112999999999</v>
          </cell>
        </row>
        <row r="32">
          <cell r="A32">
            <v>100</v>
          </cell>
          <cell r="B32">
            <v>1211</v>
          </cell>
          <cell r="C32">
            <v>208.786779</v>
          </cell>
          <cell r="D32">
            <v>532.11408900000004</v>
          </cell>
        </row>
        <row r="33">
          <cell r="A33">
            <v>100</v>
          </cell>
          <cell r="B33">
            <v>1212</v>
          </cell>
          <cell r="C33">
            <v>-6.017309</v>
          </cell>
          <cell r="D33">
            <v>-24.988664</v>
          </cell>
        </row>
        <row r="34">
          <cell r="A34">
            <v>100</v>
          </cell>
          <cell r="B34">
            <v>1213</v>
          </cell>
          <cell r="C34">
            <v>13.44875</v>
          </cell>
          <cell r="D34">
            <v>-63.783859</v>
          </cell>
        </row>
        <row r="35">
          <cell r="A35">
            <v>100</v>
          </cell>
          <cell r="B35">
            <v>1214</v>
          </cell>
          <cell r="C35">
            <v>-2.67916</v>
          </cell>
          <cell r="D35">
            <v>-47.676650000000002</v>
          </cell>
        </row>
        <row r="36">
          <cell r="A36">
            <v>100</v>
          </cell>
          <cell r="B36">
            <v>1215</v>
          </cell>
          <cell r="C36">
            <v>-261.72560900000002</v>
          </cell>
          <cell r="D36">
            <v>-356.94302699999997</v>
          </cell>
        </row>
        <row r="37">
          <cell r="A37">
            <v>100</v>
          </cell>
          <cell r="B37">
            <v>1216</v>
          </cell>
          <cell r="C37">
            <v>72.763660000000002</v>
          </cell>
          <cell r="D37">
            <v>-66.489643999999998</v>
          </cell>
        </row>
        <row r="38">
          <cell r="A38">
            <v>100</v>
          </cell>
          <cell r="B38">
            <v>1217</v>
          </cell>
          <cell r="C38">
            <v>-0.40973399999999999</v>
          </cell>
          <cell r="D38">
            <v>2.5915059999999999</v>
          </cell>
        </row>
        <row r="39">
          <cell r="A39">
            <v>100</v>
          </cell>
          <cell r="B39">
            <v>1218</v>
          </cell>
          <cell r="C39">
            <v>-0.43040899999999999</v>
          </cell>
          <cell r="D39">
            <v>-290.41501699999998</v>
          </cell>
        </row>
        <row r="40">
          <cell r="A40">
            <v>100</v>
          </cell>
          <cell r="B40">
            <v>1219</v>
          </cell>
          <cell r="C40">
            <v>-114.75897000000001</v>
          </cell>
          <cell r="D40">
            <v>-208.13991999999999</v>
          </cell>
        </row>
        <row r="41">
          <cell r="A41">
            <v>100</v>
          </cell>
          <cell r="B41">
            <v>1225</v>
          </cell>
          <cell r="C41">
            <v>-1607.9310270000001</v>
          </cell>
          <cell r="D41">
            <v>-2.621413</v>
          </cell>
        </row>
        <row r="42">
          <cell r="A42">
            <v>100</v>
          </cell>
          <cell r="B42">
            <v>1235</v>
          </cell>
          <cell r="C42">
            <v>0</v>
          </cell>
          <cell r="D42">
            <v>-60</v>
          </cell>
        </row>
        <row r="43">
          <cell r="A43">
            <v>100</v>
          </cell>
          <cell r="B43">
            <v>1259</v>
          </cell>
          <cell r="C43">
            <v>0.449069</v>
          </cell>
          <cell r="D43">
            <v>0.40184300000000001</v>
          </cell>
        </row>
        <row r="44">
          <cell r="A44">
            <v>100</v>
          </cell>
          <cell r="B44">
            <v>1271</v>
          </cell>
          <cell r="C44">
            <v>-0.28390100000000001</v>
          </cell>
          <cell r="D44">
            <v>6.6846000000000003E-2</v>
          </cell>
        </row>
        <row r="45">
          <cell r="A45">
            <v>100</v>
          </cell>
          <cell r="B45">
            <v>1275</v>
          </cell>
          <cell r="C45">
            <v>178.23814999999999</v>
          </cell>
          <cell r="D45">
            <v>413.881057</v>
          </cell>
        </row>
        <row r="46">
          <cell r="A46">
            <v>100</v>
          </cell>
          <cell r="B46">
            <v>1276</v>
          </cell>
          <cell r="C46">
            <v>3318.015292</v>
          </cell>
          <cell r="D46">
            <v>2677.3442719999998</v>
          </cell>
        </row>
        <row r="47">
          <cell r="A47">
            <v>100</v>
          </cell>
          <cell r="B47">
            <v>1278</v>
          </cell>
          <cell r="C47">
            <v>-2.7908970000000002</v>
          </cell>
          <cell r="D47">
            <v>3.1189360000000002</v>
          </cell>
        </row>
        <row r="48">
          <cell r="A48">
            <v>100</v>
          </cell>
          <cell r="B48">
            <v>1279</v>
          </cell>
          <cell r="C48">
            <v>-14.369851000000001</v>
          </cell>
          <cell r="D48">
            <v>-16.284587999999999</v>
          </cell>
        </row>
        <row r="49">
          <cell r="A49">
            <v>100</v>
          </cell>
          <cell r="B49">
            <v>1414</v>
          </cell>
          <cell r="C49">
            <v>0</v>
          </cell>
          <cell r="D49">
            <v>-5.020378</v>
          </cell>
        </row>
        <row r="50">
          <cell r="A50">
            <v>100</v>
          </cell>
          <cell r="B50">
            <v>1424</v>
          </cell>
          <cell r="C50">
            <v>1.6468419999999999</v>
          </cell>
          <cell r="D50">
            <v>2.2806489999999999</v>
          </cell>
        </row>
        <row r="51">
          <cell r="A51">
            <v>100</v>
          </cell>
          <cell r="B51">
            <v>1426</v>
          </cell>
          <cell r="C51">
            <v>4.7969900000000001</v>
          </cell>
          <cell r="D51">
            <v>8.1373119999999997</v>
          </cell>
        </row>
        <row r="52">
          <cell r="A52">
            <v>100</v>
          </cell>
          <cell r="B52">
            <v>1428</v>
          </cell>
          <cell r="C52">
            <v>-3.8140000000000001E-3</v>
          </cell>
          <cell r="D52">
            <v>-4.6615999999999998E-2</v>
          </cell>
        </row>
        <row r="53">
          <cell r="A53">
            <v>100</v>
          </cell>
          <cell r="B53">
            <v>1429</v>
          </cell>
          <cell r="C53">
            <v>11.055115000000001</v>
          </cell>
          <cell r="D53">
            <v>173.24126200000001</v>
          </cell>
        </row>
        <row r="54">
          <cell r="A54">
            <v>100</v>
          </cell>
          <cell r="B54">
            <v>1615</v>
          </cell>
          <cell r="C54">
            <v>-0.63</v>
          </cell>
          <cell r="D54">
            <v>-3.15</v>
          </cell>
        </row>
        <row r="55">
          <cell r="A55">
            <v>100</v>
          </cell>
          <cell r="B55">
            <v>1715</v>
          </cell>
          <cell r="C55">
            <v>0</v>
          </cell>
          <cell r="D55">
            <v>25</v>
          </cell>
        </row>
        <row r="56">
          <cell r="A56">
            <v>100</v>
          </cell>
          <cell r="B56">
            <v>2210</v>
          </cell>
          <cell r="C56">
            <v>1949.5408339999999</v>
          </cell>
          <cell r="D56">
            <v>468.34574800000001</v>
          </cell>
        </row>
        <row r="57">
          <cell r="A57">
            <v>100</v>
          </cell>
          <cell r="B57">
            <v>2211</v>
          </cell>
          <cell r="C57">
            <v>-80.399963999999997</v>
          </cell>
          <cell r="D57">
            <v>617.67172100000005</v>
          </cell>
        </row>
        <row r="58">
          <cell r="A58">
            <v>100</v>
          </cell>
          <cell r="B58">
            <v>2212</v>
          </cell>
          <cell r="C58">
            <v>53.721727000000001</v>
          </cell>
          <cell r="D58">
            <v>17.243663999999999</v>
          </cell>
        </row>
        <row r="59">
          <cell r="A59">
            <v>100</v>
          </cell>
          <cell r="B59">
            <v>2213</v>
          </cell>
          <cell r="C59">
            <v>-3.9940899999999999</v>
          </cell>
          <cell r="D59">
            <v>24.459192999999999</v>
          </cell>
        </row>
        <row r="60">
          <cell r="A60">
            <v>100</v>
          </cell>
          <cell r="B60">
            <v>2214</v>
          </cell>
          <cell r="C60">
            <v>-1.102131</v>
          </cell>
          <cell r="D60">
            <v>138.44356999999999</v>
          </cell>
        </row>
        <row r="61">
          <cell r="A61">
            <v>100</v>
          </cell>
          <cell r="B61">
            <v>2215</v>
          </cell>
          <cell r="C61">
            <v>117.541269</v>
          </cell>
          <cell r="D61">
            <v>209.77472</v>
          </cell>
        </row>
        <row r="62">
          <cell r="A62">
            <v>100</v>
          </cell>
          <cell r="B62">
            <v>2216</v>
          </cell>
          <cell r="C62">
            <v>-475.19665099999997</v>
          </cell>
          <cell r="D62">
            <v>-303.013305</v>
          </cell>
        </row>
        <row r="63">
          <cell r="A63">
            <v>100</v>
          </cell>
          <cell r="B63">
            <v>2217</v>
          </cell>
          <cell r="C63">
            <v>7.8989079999999996</v>
          </cell>
          <cell r="D63">
            <v>114.932604</v>
          </cell>
        </row>
        <row r="64">
          <cell r="A64">
            <v>100</v>
          </cell>
          <cell r="B64">
            <v>2218</v>
          </cell>
          <cell r="C64">
            <v>2.6928770000000002</v>
          </cell>
          <cell r="D64">
            <v>148.15560199999999</v>
          </cell>
        </row>
        <row r="65">
          <cell r="A65">
            <v>100</v>
          </cell>
          <cell r="B65">
            <v>2219</v>
          </cell>
          <cell r="C65">
            <v>-1364.2044539999999</v>
          </cell>
          <cell r="D65">
            <v>-1713.862656</v>
          </cell>
        </row>
        <row r="66">
          <cell r="A66">
            <v>100</v>
          </cell>
          <cell r="B66">
            <v>2238</v>
          </cell>
          <cell r="C66">
            <v>0</v>
          </cell>
          <cell r="D66">
            <v>-1.75</v>
          </cell>
        </row>
        <row r="67">
          <cell r="A67">
            <v>100</v>
          </cell>
          <cell r="B67">
            <v>2238</v>
          </cell>
          <cell r="C67">
            <v>3.1012000000000001E-2</v>
          </cell>
          <cell r="D67">
            <v>0.66236600000000001</v>
          </cell>
        </row>
        <row r="68">
          <cell r="A68">
            <v>100</v>
          </cell>
          <cell r="B68">
            <v>2256</v>
          </cell>
          <cell r="C68">
            <v>0</v>
          </cell>
          <cell r="D68">
            <v>-0.69534099999999999</v>
          </cell>
        </row>
        <row r="69">
          <cell r="A69">
            <v>100</v>
          </cell>
          <cell r="B69">
            <v>2259</v>
          </cell>
          <cell r="C69">
            <v>146.29418899999999</v>
          </cell>
          <cell r="D69">
            <v>-1446.709398</v>
          </cell>
        </row>
        <row r="70">
          <cell r="A70">
            <v>100</v>
          </cell>
          <cell r="B70">
            <v>2271</v>
          </cell>
          <cell r="C70">
            <v>0</v>
          </cell>
          <cell r="D70">
            <v>-3.2000000000000002E-3</v>
          </cell>
        </row>
        <row r="71">
          <cell r="A71">
            <v>100</v>
          </cell>
          <cell r="B71">
            <v>2275</v>
          </cell>
          <cell r="C71">
            <v>-142.16651400000001</v>
          </cell>
          <cell r="D71">
            <v>3203.9514199999999</v>
          </cell>
        </row>
        <row r="72">
          <cell r="A72">
            <v>100</v>
          </cell>
          <cell r="B72">
            <v>2275</v>
          </cell>
          <cell r="C72">
            <v>-3.1012000000000001E-2</v>
          </cell>
          <cell r="D72">
            <v>-3.1012000000000001E-2</v>
          </cell>
        </row>
        <row r="73">
          <cell r="A73">
            <v>100</v>
          </cell>
          <cell r="B73">
            <v>2276</v>
          </cell>
          <cell r="C73">
            <v>923.56939299999999</v>
          </cell>
          <cell r="D73">
            <v>890.35651099999995</v>
          </cell>
        </row>
        <row r="74">
          <cell r="A74">
            <v>100</v>
          </cell>
          <cell r="B74">
            <v>2278</v>
          </cell>
          <cell r="C74">
            <v>9.2669999999999992E-3</v>
          </cell>
          <cell r="D74">
            <v>79.595867999999996</v>
          </cell>
        </row>
        <row r="75">
          <cell r="A75">
            <v>100</v>
          </cell>
          <cell r="B75">
            <v>2279</v>
          </cell>
          <cell r="C75">
            <v>458.35192899999998</v>
          </cell>
          <cell r="D75">
            <v>-123.911575</v>
          </cell>
        </row>
        <row r="76">
          <cell r="A76">
            <v>100</v>
          </cell>
          <cell r="B76">
            <v>2616</v>
          </cell>
          <cell r="C76">
            <v>1.2894490000000001</v>
          </cell>
          <cell r="D76">
            <v>1.2894490000000001</v>
          </cell>
        </row>
        <row r="77">
          <cell r="A77">
            <v>100</v>
          </cell>
          <cell r="B77">
            <v>2618</v>
          </cell>
          <cell r="C77">
            <v>0</v>
          </cell>
          <cell r="D77">
            <v>3.2073339999999999</v>
          </cell>
        </row>
        <row r="78">
          <cell r="A78">
            <v>100</v>
          </cell>
          <cell r="B78">
            <v>3919</v>
          </cell>
          <cell r="C78">
            <v>317.19154300000002</v>
          </cell>
          <cell r="D78">
            <v>278.92797899999999</v>
          </cell>
        </row>
        <row r="79">
          <cell r="A79">
            <v>100</v>
          </cell>
          <cell r="B79">
            <v>12111</v>
          </cell>
          <cell r="C79">
            <v>0</v>
          </cell>
          <cell r="D79">
            <v>-4.3616720000000004</v>
          </cell>
        </row>
        <row r="80">
          <cell r="A80">
            <v>100</v>
          </cell>
          <cell r="B80">
            <v>12118</v>
          </cell>
          <cell r="C80">
            <v>-3.2946770000000001</v>
          </cell>
          <cell r="D80">
            <v>20.755617000000001</v>
          </cell>
        </row>
        <row r="81">
          <cell r="A81">
            <v>100</v>
          </cell>
          <cell r="B81">
            <v>12161</v>
          </cell>
          <cell r="C81">
            <v>0.256963</v>
          </cell>
          <cell r="D81">
            <v>0.19916700000000001</v>
          </cell>
        </row>
        <row r="82">
          <cell r="A82">
            <v>100</v>
          </cell>
          <cell r="B82">
            <v>12164</v>
          </cell>
          <cell r="C82">
            <v>26.600068</v>
          </cell>
          <cell r="D82">
            <v>159.31808699999999</v>
          </cell>
        </row>
        <row r="83">
          <cell r="A83">
            <v>100</v>
          </cell>
          <cell r="B83">
            <v>12169</v>
          </cell>
          <cell r="C83">
            <v>3.4551999999999999E-2</v>
          </cell>
          <cell r="D83">
            <v>1.2954540000000001</v>
          </cell>
        </row>
        <row r="84">
          <cell r="A84">
            <v>100</v>
          </cell>
          <cell r="B84">
            <v>12176</v>
          </cell>
          <cell r="C84">
            <v>407.491983</v>
          </cell>
          <cell r="D84">
            <v>130.97340299999999</v>
          </cell>
        </row>
        <row r="85">
          <cell r="A85">
            <v>100</v>
          </cell>
          <cell r="B85">
            <v>12177</v>
          </cell>
          <cell r="C85">
            <v>-21.793337999999999</v>
          </cell>
          <cell r="D85">
            <v>-296.48413900000003</v>
          </cell>
        </row>
        <row r="86">
          <cell r="A86">
            <v>100</v>
          </cell>
          <cell r="B86">
            <v>12178</v>
          </cell>
          <cell r="C86">
            <v>-145.56437099999999</v>
          </cell>
          <cell r="D86">
            <v>185.54252199999999</v>
          </cell>
        </row>
        <row r="87">
          <cell r="A87">
            <v>100</v>
          </cell>
          <cell r="B87">
            <v>12191</v>
          </cell>
          <cell r="C87">
            <v>-74.190038999999999</v>
          </cell>
          <cell r="D87">
            <v>-12.788824999999999</v>
          </cell>
        </row>
        <row r="88">
          <cell r="A88">
            <v>100</v>
          </cell>
          <cell r="B88">
            <v>12560</v>
          </cell>
          <cell r="C88">
            <v>0</v>
          </cell>
          <cell r="D88">
            <v>-17.264500000000002</v>
          </cell>
        </row>
        <row r="89">
          <cell r="A89">
            <v>100</v>
          </cell>
          <cell r="B89">
            <v>12751</v>
          </cell>
          <cell r="C89">
            <v>0</v>
          </cell>
          <cell r="D89">
            <v>-0.24285699999999999</v>
          </cell>
        </row>
        <row r="90">
          <cell r="A90">
            <v>100</v>
          </cell>
          <cell r="B90">
            <v>12754</v>
          </cell>
          <cell r="C90">
            <v>40.253155</v>
          </cell>
          <cell r="D90">
            <v>-197.49722800000001</v>
          </cell>
        </row>
        <row r="91">
          <cell r="A91">
            <v>100</v>
          </cell>
          <cell r="B91">
            <v>12756</v>
          </cell>
          <cell r="C91">
            <v>0</v>
          </cell>
          <cell r="D91">
            <v>-22.051822000000001</v>
          </cell>
        </row>
        <row r="92">
          <cell r="A92">
            <v>100</v>
          </cell>
          <cell r="B92">
            <v>12798</v>
          </cell>
          <cell r="C92">
            <v>146.263442</v>
          </cell>
          <cell r="D92">
            <v>-22.530657999999999</v>
          </cell>
        </row>
        <row r="93">
          <cell r="A93">
            <v>100</v>
          </cell>
          <cell r="B93">
            <v>12799</v>
          </cell>
          <cell r="C93">
            <v>-0.6</v>
          </cell>
          <cell r="D93">
            <v>-0.92869199999999996</v>
          </cell>
        </row>
        <row r="94">
          <cell r="A94">
            <v>100</v>
          </cell>
          <cell r="B94">
            <v>14289</v>
          </cell>
          <cell r="C94">
            <v>9.0681999999999999E-2</v>
          </cell>
          <cell r="D94">
            <v>0.17704700000000001</v>
          </cell>
        </row>
        <row r="95">
          <cell r="A95">
            <v>100</v>
          </cell>
          <cell r="B95">
            <v>14298</v>
          </cell>
          <cell r="C95">
            <v>0</v>
          </cell>
          <cell r="D95">
            <v>1.9999999999999999E-6</v>
          </cell>
        </row>
        <row r="96">
          <cell r="A96">
            <v>100</v>
          </cell>
          <cell r="B96">
            <v>14299</v>
          </cell>
          <cell r="C96">
            <v>-9.7900000000000005E-4</v>
          </cell>
          <cell r="D96">
            <v>-8.5708999999999994E-2</v>
          </cell>
        </row>
        <row r="97">
          <cell r="A97">
            <v>100</v>
          </cell>
          <cell r="B97">
            <v>16142</v>
          </cell>
          <cell r="C97">
            <v>14.077921999999999</v>
          </cell>
          <cell r="D97">
            <v>39.426082999999998</v>
          </cell>
        </row>
        <row r="98">
          <cell r="A98">
            <v>100</v>
          </cell>
          <cell r="B98">
            <v>16142</v>
          </cell>
          <cell r="C98">
            <v>0</v>
          </cell>
          <cell r="D98">
            <v>-1.0540579999999999</v>
          </cell>
        </row>
        <row r="99">
          <cell r="A99">
            <v>100</v>
          </cell>
          <cell r="B99">
            <v>16161</v>
          </cell>
          <cell r="C99">
            <v>-0.60066699999999995</v>
          </cell>
          <cell r="D99">
            <v>-1.8030820000000001</v>
          </cell>
        </row>
        <row r="100">
          <cell r="A100">
            <v>100</v>
          </cell>
          <cell r="B100">
            <v>16161</v>
          </cell>
          <cell r="C100">
            <v>0.36</v>
          </cell>
          <cell r="D100">
            <v>0.36</v>
          </cell>
        </row>
        <row r="101">
          <cell r="A101">
            <v>100</v>
          </cell>
          <cell r="B101">
            <v>16161</v>
          </cell>
          <cell r="C101">
            <v>0.89980400000000005</v>
          </cell>
          <cell r="D101">
            <v>0.89980400000000005</v>
          </cell>
        </row>
        <row r="102">
          <cell r="A102">
            <v>100</v>
          </cell>
          <cell r="B102">
            <v>22001</v>
          </cell>
          <cell r="C102">
            <v>-20.185504999999999</v>
          </cell>
          <cell r="D102">
            <v>-91.987064000000004</v>
          </cell>
        </row>
        <row r="103">
          <cell r="A103">
            <v>100</v>
          </cell>
          <cell r="B103">
            <v>22002</v>
          </cell>
          <cell r="C103">
            <v>0</v>
          </cell>
          <cell r="D103">
            <v>0.61692999999999998</v>
          </cell>
        </row>
        <row r="104">
          <cell r="A104">
            <v>100</v>
          </cell>
          <cell r="B104">
            <v>22003</v>
          </cell>
          <cell r="C104">
            <v>-120.502393</v>
          </cell>
          <cell r="D104">
            <v>83.928791000000004</v>
          </cell>
        </row>
        <row r="105">
          <cell r="A105">
            <v>100</v>
          </cell>
          <cell r="B105">
            <v>22004</v>
          </cell>
          <cell r="C105">
            <v>-64.200913</v>
          </cell>
          <cell r="D105">
            <v>119.98020200000001</v>
          </cell>
        </row>
        <row r="106">
          <cell r="A106">
            <v>100</v>
          </cell>
          <cell r="B106">
            <v>22005</v>
          </cell>
          <cell r="C106">
            <v>14.029067</v>
          </cell>
          <cell r="D106">
            <v>52.480111999999998</v>
          </cell>
        </row>
        <row r="107">
          <cell r="A107">
            <v>100</v>
          </cell>
          <cell r="B107">
            <v>22007</v>
          </cell>
          <cell r="C107">
            <v>-7.5808439999999999</v>
          </cell>
          <cell r="D107">
            <v>-8.5621720000000003</v>
          </cell>
        </row>
        <row r="108">
          <cell r="A108">
            <v>100</v>
          </cell>
          <cell r="B108">
            <v>22008</v>
          </cell>
          <cell r="C108">
            <v>0.47808600000000001</v>
          </cell>
          <cell r="D108">
            <v>0.97043400000000002</v>
          </cell>
        </row>
        <row r="109">
          <cell r="A109">
            <v>100</v>
          </cell>
          <cell r="B109">
            <v>22011</v>
          </cell>
          <cell r="C109">
            <v>1.7814680000000001</v>
          </cell>
          <cell r="D109">
            <v>1.850886</v>
          </cell>
        </row>
        <row r="110">
          <cell r="A110">
            <v>100</v>
          </cell>
          <cell r="B110">
            <v>22013</v>
          </cell>
          <cell r="C110">
            <v>0</v>
          </cell>
          <cell r="D110">
            <v>-4.2680000000000001E-3</v>
          </cell>
        </row>
        <row r="111">
          <cell r="A111">
            <v>100</v>
          </cell>
          <cell r="B111">
            <v>22016</v>
          </cell>
          <cell r="C111">
            <v>-2.3501999999999999E-2</v>
          </cell>
          <cell r="D111">
            <v>0.19628499999999999</v>
          </cell>
        </row>
        <row r="112">
          <cell r="A112">
            <v>100</v>
          </cell>
          <cell r="B112">
            <v>22019</v>
          </cell>
          <cell r="C112">
            <v>-205.39958300000001</v>
          </cell>
          <cell r="D112">
            <v>587.61924399999998</v>
          </cell>
        </row>
        <row r="113">
          <cell r="A113">
            <v>100</v>
          </cell>
          <cell r="B113">
            <v>22162</v>
          </cell>
          <cell r="C113">
            <v>0.25697999999999999</v>
          </cell>
          <cell r="D113">
            <v>0.25697999999999999</v>
          </cell>
        </row>
        <row r="114">
          <cell r="A114">
            <v>100</v>
          </cell>
          <cell r="B114">
            <v>22165</v>
          </cell>
          <cell r="C114">
            <v>-0.28610999999999998</v>
          </cell>
          <cell r="D114">
            <v>5.6227650000000002</v>
          </cell>
        </row>
        <row r="115">
          <cell r="A115">
            <v>100</v>
          </cell>
          <cell r="B115">
            <v>22191</v>
          </cell>
          <cell r="C115">
            <v>74.181388999999996</v>
          </cell>
          <cell r="D115">
            <v>12.820383</v>
          </cell>
        </row>
        <row r="116">
          <cell r="A116">
            <v>100</v>
          </cell>
          <cell r="B116">
            <v>22751</v>
          </cell>
          <cell r="C116">
            <v>103.852616</v>
          </cell>
          <cell r="D116">
            <v>2925.7638529999999</v>
          </cell>
        </row>
        <row r="117">
          <cell r="A117">
            <v>100</v>
          </cell>
          <cell r="B117">
            <v>22753</v>
          </cell>
          <cell r="C117">
            <v>33.728408999999999</v>
          </cell>
          <cell r="D117">
            <v>20.320884</v>
          </cell>
        </row>
        <row r="118">
          <cell r="A118">
            <v>100</v>
          </cell>
          <cell r="B118">
            <v>22758</v>
          </cell>
          <cell r="C118">
            <v>111.74588300000001</v>
          </cell>
          <cell r="D118">
            <v>-8267.1610099999998</v>
          </cell>
        </row>
        <row r="119">
          <cell r="A119">
            <v>100</v>
          </cell>
          <cell r="B119">
            <v>22761</v>
          </cell>
          <cell r="C119">
            <v>-7.2555999999999995E-2</v>
          </cell>
          <cell r="D119">
            <v>0.84946900000000003</v>
          </cell>
        </row>
        <row r="120">
          <cell r="A120">
            <v>100</v>
          </cell>
          <cell r="B120">
            <v>22763</v>
          </cell>
          <cell r="C120">
            <v>-219.27050199999999</v>
          </cell>
          <cell r="D120">
            <v>-459.655438</v>
          </cell>
        </row>
        <row r="121">
          <cell r="A121">
            <v>100</v>
          </cell>
          <cell r="B121">
            <v>22799</v>
          </cell>
          <cell r="C121">
            <v>0.79447299999999998</v>
          </cell>
          <cell r="D121">
            <v>0.46131699999999998</v>
          </cell>
        </row>
        <row r="122">
          <cell r="A122">
            <v>100</v>
          </cell>
          <cell r="B122">
            <v>26122</v>
          </cell>
          <cell r="C122">
            <v>0</v>
          </cell>
          <cell r="D122">
            <v>5.0567000000000001E-2</v>
          </cell>
        </row>
        <row r="123">
          <cell r="A123">
            <v>100</v>
          </cell>
          <cell r="B123">
            <v>26249</v>
          </cell>
          <cell r="C123">
            <v>0</v>
          </cell>
          <cell r="D123">
            <v>0.13609099999999999</v>
          </cell>
        </row>
        <row r="124">
          <cell r="A124">
            <v>100</v>
          </cell>
          <cell r="B124">
            <v>121761</v>
          </cell>
          <cell r="C124">
            <v>1.7389079999999999</v>
          </cell>
          <cell r="D124">
            <v>-0.206203</v>
          </cell>
        </row>
        <row r="125">
          <cell r="A125">
            <v>100</v>
          </cell>
          <cell r="B125">
            <v>1110</v>
          </cell>
          <cell r="D125">
            <v>-0.21826499999999999</v>
          </cell>
        </row>
        <row r="126">
          <cell r="A126">
            <v>100</v>
          </cell>
          <cell r="B126">
            <v>1120</v>
          </cell>
          <cell r="C126">
            <v>-9036.9737249999998</v>
          </cell>
          <cell r="D126">
            <v>-33261.969650999999</v>
          </cell>
        </row>
        <row r="127">
          <cell r="A127">
            <v>100</v>
          </cell>
          <cell r="B127">
            <v>1147</v>
          </cell>
          <cell r="D127">
            <v>-11.166017999999999</v>
          </cell>
        </row>
        <row r="128">
          <cell r="A128">
            <v>100</v>
          </cell>
          <cell r="B128">
            <v>1170</v>
          </cell>
          <cell r="D128">
            <v>0</v>
          </cell>
        </row>
        <row r="129">
          <cell r="A129">
            <v>100</v>
          </cell>
          <cell r="B129">
            <v>1177</v>
          </cell>
          <cell r="C129">
            <v>0</v>
          </cell>
          <cell r="D129">
            <v>0</v>
          </cell>
        </row>
        <row r="130">
          <cell r="A130">
            <v>100</v>
          </cell>
          <cell r="B130">
            <v>1179</v>
          </cell>
          <cell r="D130">
            <v>0</v>
          </cell>
        </row>
        <row r="131">
          <cell r="A131">
            <v>100</v>
          </cell>
          <cell r="B131">
            <v>1181</v>
          </cell>
          <cell r="C131">
            <v>-4.3211740000000001</v>
          </cell>
          <cell r="D131">
            <v>-11.721659000000001</v>
          </cell>
        </row>
        <row r="132">
          <cell r="A132">
            <v>100</v>
          </cell>
          <cell r="B132">
            <v>1182</v>
          </cell>
          <cell r="C132">
            <v>4.5655799999999997</v>
          </cell>
          <cell r="D132">
            <v>16.507294000000002</v>
          </cell>
        </row>
        <row r="133">
          <cell r="A133">
            <v>100</v>
          </cell>
          <cell r="B133">
            <v>1183</v>
          </cell>
          <cell r="C133">
            <v>61152.718726999999</v>
          </cell>
          <cell r="D133">
            <v>56338.489612999998</v>
          </cell>
        </row>
        <row r="134">
          <cell r="A134">
            <v>100</v>
          </cell>
          <cell r="B134">
            <v>1184</v>
          </cell>
          <cell r="C134">
            <v>-93.680941000000004</v>
          </cell>
          <cell r="D134">
            <v>-945.87530600000002</v>
          </cell>
        </row>
        <row r="135">
          <cell r="A135">
            <v>100</v>
          </cell>
          <cell r="B135">
            <v>1187</v>
          </cell>
          <cell r="C135">
            <v>7.2665569999999997</v>
          </cell>
          <cell r="D135">
            <v>21.973275999999998</v>
          </cell>
        </row>
        <row r="136">
          <cell r="A136">
            <v>100</v>
          </cell>
          <cell r="B136">
            <v>1189</v>
          </cell>
          <cell r="C136">
            <v>0.48215799999999998</v>
          </cell>
          <cell r="D136">
            <v>-0.23069300000000001</v>
          </cell>
        </row>
        <row r="137">
          <cell r="A137">
            <v>100</v>
          </cell>
          <cell r="B137">
            <v>1192</v>
          </cell>
          <cell r="C137">
            <v>724.58262000000002</v>
          </cell>
          <cell r="D137">
            <v>724.58262000000002</v>
          </cell>
        </row>
        <row r="138">
          <cell r="A138">
            <v>100</v>
          </cell>
          <cell r="B138">
            <v>1211</v>
          </cell>
          <cell r="C138">
            <v>-3.8446669999999998</v>
          </cell>
          <cell r="D138">
            <v>-3.2666330000000001</v>
          </cell>
        </row>
        <row r="139">
          <cell r="A139">
            <v>100</v>
          </cell>
          <cell r="B139">
            <v>12111</v>
          </cell>
          <cell r="C139">
            <v>-1006.5432479999999</v>
          </cell>
          <cell r="D139">
            <v>-717.69008799999995</v>
          </cell>
        </row>
        <row r="140">
          <cell r="A140">
            <v>100</v>
          </cell>
          <cell r="B140">
            <v>12122</v>
          </cell>
          <cell r="C140">
            <v>57.567601000000003</v>
          </cell>
          <cell r="D140">
            <v>236.08101400000001</v>
          </cell>
        </row>
        <row r="141">
          <cell r="A141">
            <v>100</v>
          </cell>
          <cell r="B141">
            <v>12123</v>
          </cell>
          <cell r="C141">
            <v>-16.648492999999998</v>
          </cell>
          <cell r="D141">
            <v>-44.893515999999998</v>
          </cell>
        </row>
        <row r="142">
          <cell r="A142">
            <v>100</v>
          </cell>
          <cell r="B142">
            <v>1213</v>
          </cell>
          <cell r="C142">
            <v>-6479.0201939999997</v>
          </cell>
          <cell r="D142">
            <v>-6478.9307500000004</v>
          </cell>
        </row>
        <row r="143">
          <cell r="A143">
            <v>100</v>
          </cell>
          <cell r="B143">
            <v>1214</v>
          </cell>
          <cell r="C143">
            <v>9.8333329999999997</v>
          </cell>
          <cell r="D143">
            <v>59.000002000000002</v>
          </cell>
        </row>
        <row r="144">
          <cell r="A144">
            <v>100</v>
          </cell>
          <cell r="B144">
            <v>1215</v>
          </cell>
          <cell r="C144">
            <v>6.7</v>
          </cell>
          <cell r="D144">
            <v>-8289.9973269999991</v>
          </cell>
        </row>
        <row r="145">
          <cell r="A145">
            <v>100</v>
          </cell>
          <cell r="B145">
            <v>12152</v>
          </cell>
          <cell r="C145">
            <v>92153.952520999999</v>
          </cell>
          <cell r="D145">
            <v>92153.952520999999</v>
          </cell>
        </row>
        <row r="146">
          <cell r="A146">
            <v>100</v>
          </cell>
          <cell r="B146">
            <v>1216</v>
          </cell>
          <cell r="C146">
            <v>-8.1552340000000001</v>
          </cell>
          <cell r="D146">
            <v>-107.11580499999999</v>
          </cell>
        </row>
        <row r="147">
          <cell r="A147">
            <v>100</v>
          </cell>
          <cell r="B147">
            <v>12161</v>
          </cell>
          <cell r="C147">
            <v>1.248146</v>
          </cell>
          <cell r="D147">
            <v>3.7818269999999998</v>
          </cell>
        </row>
        <row r="148">
          <cell r="A148">
            <v>100</v>
          </cell>
          <cell r="B148">
            <v>12166</v>
          </cell>
          <cell r="D148">
            <v>1.3372999999999999E-2</v>
          </cell>
        </row>
        <row r="149">
          <cell r="A149">
            <v>100</v>
          </cell>
          <cell r="B149">
            <v>12168</v>
          </cell>
          <cell r="C149">
            <v>-0.32666000000000001</v>
          </cell>
          <cell r="D149">
            <v>-0.105256</v>
          </cell>
        </row>
        <row r="150">
          <cell r="A150">
            <v>100</v>
          </cell>
          <cell r="B150">
            <v>1217</v>
          </cell>
          <cell r="C150">
            <v>7.0809430000000004</v>
          </cell>
          <cell r="D150">
            <v>6.6344690000000002</v>
          </cell>
        </row>
        <row r="151">
          <cell r="A151">
            <v>100</v>
          </cell>
          <cell r="B151">
            <v>12171</v>
          </cell>
          <cell r="C151">
            <v>-17.541191000000001</v>
          </cell>
          <cell r="D151">
            <v>-33.891190999999999</v>
          </cell>
        </row>
        <row r="152">
          <cell r="A152">
            <v>100</v>
          </cell>
          <cell r="B152">
            <v>1219</v>
          </cell>
          <cell r="D152">
            <v>-68</v>
          </cell>
        </row>
        <row r="153">
          <cell r="A153">
            <v>100</v>
          </cell>
          <cell r="B153">
            <v>1229</v>
          </cell>
          <cell r="C153">
            <v>-644.48432400000002</v>
          </cell>
          <cell r="D153">
            <v>18.018045999999998</v>
          </cell>
        </row>
        <row r="154">
          <cell r="A154">
            <v>100</v>
          </cell>
          <cell r="B154">
            <v>1255</v>
          </cell>
          <cell r="C154">
            <v>-50</v>
          </cell>
          <cell r="D154">
            <v>197.87889999999999</v>
          </cell>
        </row>
        <row r="155">
          <cell r="A155">
            <v>100</v>
          </cell>
          <cell r="B155">
            <v>12560</v>
          </cell>
          <cell r="C155">
            <v>937.19878000000006</v>
          </cell>
          <cell r="D155">
            <v>950.90123000000006</v>
          </cell>
        </row>
        <row r="156">
          <cell r="A156">
            <v>100</v>
          </cell>
          <cell r="B156">
            <v>12565</v>
          </cell>
          <cell r="C156">
            <v>0.41399999999999998</v>
          </cell>
          <cell r="D156">
            <v>-11.823998</v>
          </cell>
        </row>
        <row r="157">
          <cell r="A157">
            <v>100</v>
          </cell>
          <cell r="B157">
            <v>12591</v>
          </cell>
          <cell r="C157">
            <v>-2.9484E-2</v>
          </cell>
          <cell r="D157">
            <v>-0.69323400000000002</v>
          </cell>
        </row>
        <row r="158">
          <cell r="A158">
            <v>100</v>
          </cell>
          <cell r="B158">
            <v>1279</v>
          </cell>
          <cell r="D158">
            <v>0</v>
          </cell>
        </row>
        <row r="159">
          <cell r="A159">
            <v>100</v>
          </cell>
          <cell r="B159">
            <v>13101</v>
          </cell>
          <cell r="C159">
            <v>13737.665729</v>
          </cell>
          <cell r="D159">
            <v>62884.40885</v>
          </cell>
        </row>
        <row r="160">
          <cell r="A160">
            <v>100</v>
          </cell>
          <cell r="B160">
            <v>13102</v>
          </cell>
          <cell r="C160">
            <v>10277.601009</v>
          </cell>
          <cell r="D160">
            <v>50582.362390000002</v>
          </cell>
        </row>
        <row r="161">
          <cell r="A161">
            <v>100</v>
          </cell>
          <cell r="B161">
            <v>13103</v>
          </cell>
          <cell r="C161">
            <v>15697.941076999999</v>
          </cell>
          <cell r="D161">
            <v>96791.464223000003</v>
          </cell>
        </row>
        <row r="162">
          <cell r="A162">
            <v>100</v>
          </cell>
          <cell r="B162">
            <v>13104</v>
          </cell>
          <cell r="C162">
            <v>9643.2767170000006</v>
          </cell>
          <cell r="D162">
            <v>50786.468357999998</v>
          </cell>
        </row>
        <row r="163">
          <cell r="A163">
            <v>100</v>
          </cell>
          <cell r="B163">
            <v>13107</v>
          </cell>
          <cell r="C163">
            <v>-120.95706800000001</v>
          </cell>
          <cell r="D163">
            <v>-1001.637825</v>
          </cell>
        </row>
        <row r="164">
          <cell r="A164">
            <v>100</v>
          </cell>
          <cell r="B164">
            <v>13108</v>
          </cell>
          <cell r="C164">
            <v>-194.88968499999999</v>
          </cell>
          <cell r="D164">
            <v>-685.24858900000004</v>
          </cell>
        </row>
        <row r="165">
          <cell r="A165">
            <v>100</v>
          </cell>
          <cell r="B165">
            <v>13109</v>
          </cell>
          <cell r="C165">
            <v>-43466.340568</v>
          </cell>
          <cell r="D165">
            <v>-228363.437726</v>
          </cell>
        </row>
        <row r="166">
          <cell r="A166">
            <v>100</v>
          </cell>
          <cell r="B166">
            <v>16122</v>
          </cell>
          <cell r="C166">
            <v>262.05773599999998</v>
          </cell>
          <cell r="D166">
            <v>4895.5886760000003</v>
          </cell>
        </row>
        <row r="167">
          <cell r="A167">
            <v>100</v>
          </cell>
          <cell r="B167">
            <v>16126</v>
          </cell>
          <cell r="C167">
            <v>4.9221750000000002</v>
          </cell>
          <cell r="D167">
            <v>-1.771577</v>
          </cell>
        </row>
        <row r="168">
          <cell r="A168">
            <v>100</v>
          </cell>
          <cell r="B168">
            <v>16127</v>
          </cell>
          <cell r="C168">
            <v>0.14207400000000001</v>
          </cell>
          <cell r="D168">
            <v>-8.4436999999999998E-2</v>
          </cell>
        </row>
        <row r="169">
          <cell r="A169">
            <v>100</v>
          </cell>
          <cell r="B169">
            <v>16132</v>
          </cell>
          <cell r="C169">
            <v>1.2694399999999999</v>
          </cell>
          <cell r="D169">
            <v>7.6166369999999999</v>
          </cell>
        </row>
        <row r="170">
          <cell r="A170">
            <v>100</v>
          </cell>
          <cell r="B170">
            <v>16142</v>
          </cell>
          <cell r="C170">
            <v>0.67117400000000005</v>
          </cell>
          <cell r="D170">
            <v>-31.631733000000001</v>
          </cell>
        </row>
        <row r="171">
          <cell r="A171">
            <v>100</v>
          </cell>
          <cell r="B171">
            <v>16151</v>
          </cell>
          <cell r="D171">
            <v>68</v>
          </cell>
        </row>
        <row r="172">
          <cell r="A172">
            <v>100</v>
          </cell>
          <cell r="B172">
            <v>16152</v>
          </cell>
          <cell r="C172">
            <v>0.37007600000000002</v>
          </cell>
          <cell r="D172">
            <v>-7.1551780000000003</v>
          </cell>
        </row>
        <row r="173">
          <cell r="A173">
            <v>100</v>
          </cell>
          <cell r="B173">
            <v>16162</v>
          </cell>
          <cell r="C173">
            <v>0.19950499999999999</v>
          </cell>
          <cell r="D173">
            <v>-0.49617800000000001</v>
          </cell>
        </row>
        <row r="174">
          <cell r="A174">
            <v>100</v>
          </cell>
          <cell r="B174">
            <v>1622</v>
          </cell>
          <cell r="C174">
            <v>-71.682486999999995</v>
          </cell>
          <cell r="D174">
            <v>-121.118959</v>
          </cell>
        </row>
        <row r="175">
          <cell r="A175">
            <v>100</v>
          </cell>
          <cell r="B175">
            <v>1623</v>
          </cell>
          <cell r="C175">
            <v>29.884</v>
          </cell>
          <cell r="D175">
            <v>-60.45</v>
          </cell>
        </row>
        <row r="176">
          <cell r="A176">
            <v>100</v>
          </cell>
          <cell r="B176">
            <v>1625</v>
          </cell>
          <cell r="C176">
            <v>-654.34409200000005</v>
          </cell>
          <cell r="D176">
            <v>-7324.0130010000003</v>
          </cell>
        </row>
        <row r="177">
          <cell r="A177">
            <v>100</v>
          </cell>
          <cell r="B177">
            <v>1711</v>
          </cell>
          <cell r="D177">
            <v>5508.8585220000004</v>
          </cell>
        </row>
        <row r="178">
          <cell r="A178">
            <v>100</v>
          </cell>
          <cell r="B178">
            <v>1735</v>
          </cell>
          <cell r="C178">
            <v>17.484555</v>
          </cell>
          <cell r="D178">
            <v>251.53455500000001</v>
          </cell>
        </row>
        <row r="179">
          <cell r="A179">
            <v>100</v>
          </cell>
          <cell r="B179">
            <v>22003</v>
          </cell>
          <cell r="C179">
            <v>1.3792E-2</v>
          </cell>
          <cell r="D179">
            <v>1.3792E-2</v>
          </cell>
        </row>
        <row r="180">
          <cell r="A180">
            <v>100</v>
          </cell>
          <cell r="B180">
            <v>22011</v>
          </cell>
          <cell r="C180">
            <v>-5.5149710000000001</v>
          </cell>
          <cell r="D180">
            <v>-8.4103309999999993</v>
          </cell>
        </row>
        <row r="181">
          <cell r="A181">
            <v>100</v>
          </cell>
          <cell r="B181">
            <v>22016</v>
          </cell>
          <cell r="D181">
            <v>172.594381</v>
          </cell>
        </row>
        <row r="182">
          <cell r="A182">
            <v>100</v>
          </cell>
          <cell r="B182">
            <v>22017</v>
          </cell>
          <cell r="C182">
            <v>-12.089138</v>
          </cell>
          <cell r="D182">
            <v>23.647368</v>
          </cell>
        </row>
        <row r="183">
          <cell r="A183">
            <v>100</v>
          </cell>
          <cell r="B183">
            <v>22019</v>
          </cell>
          <cell r="D183">
            <v>9.9449819999999995</v>
          </cell>
        </row>
        <row r="184">
          <cell r="A184">
            <v>100</v>
          </cell>
          <cell r="B184">
            <v>2212</v>
          </cell>
          <cell r="C184">
            <v>303.44846200000001</v>
          </cell>
          <cell r="D184">
            <v>-14.883171000000001</v>
          </cell>
        </row>
        <row r="185">
          <cell r="A185">
            <v>100</v>
          </cell>
          <cell r="B185">
            <v>2213</v>
          </cell>
          <cell r="C185">
            <v>11.275327000000001</v>
          </cell>
          <cell r="D185">
            <v>100.345338</v>
          </cell>
        </row>
        <row r="186">
          <cell r="A186">
            <v>100</v>
          </cell>
          <cell r="B186">
            <v>2215</v>
          </cell>
          <cell r="D186">
            <v>8.7475079999999998</v>
          </cell>
        </row>
        <row r="187">
          <cell r="A187">
            <v>100</v>
          </cell>
          <cell r="B187">
            <v>22151</v>
          </cell>
          <cell r="C187">
            <v>-7.8006539999999998</v>
          </cell>
          <cell r="D187">
            <v>37.997860000000003</v>
          </cell>
        </row>
        <row r="188">
          <cell r="A188">
            <v>100</v>
          </cell>
          <cell r="B188">
            <v>22152</v>
          </cell>
          <cell r="C188">
            <v>-98.647333000000003</v>
          </cell>
          <cell r="D188">
            <v>217.05946800000001</v>
          </cell>
        </row>
        <row r="189">
          <cell r="A189">
            <v>100</v>
          </cell>
          <cell r="B189">
            <v>2216</v>
          </cell>
          <cell r="C189">
            <v>1.431E-2</v>
          </cell>
          <cell r="D189">
            <v>-3.1299410000000001</v>
          </cell>
        </row>
        <row r="190">
          <cell r="A190">
            <v>100</v>
          </cell>
          <cell r="B190">
            <v>22161</v>
          </cell>
          <cell r="D190">
            <v>120.45240099999999</v>
          </cell>
        </row>
        <row r="191">
          <cell r="A191">
            <v>100</v>
          </cell>
          <cell r="B191">
            <v>22164</v>
          </cell>
          <cell r="C191">
            <v>8.9469000000000007E-2</v>
          </cell>
          <cell r="D191">
            <v>556.14606300000003</v>
          </cell>
        </row>
        <row r="192">
          <cell r="A192">
            <v>100</v>
          </cell>
          <cell r="B192">
            <v>22178</v>
          </cell>
          <cell r="D192">
            <v>5.0738729999999999</v>
          </cell>
        </row>
        <row r="193">
          <cell r="A193">
            <v>100</v>
          </cell>
          <cell r="B193">
            <v>22179</v>
          </cell>
          <cell r="C193">
            <v>-10.642783</v>
          </cell>
          <cell r="D193">
            <v>-52.190753999999998</v>
          </cell>
        </row>
        <row r="194">
          <cell r="A194">
            <v>100</v>
          </cell>
          <cell r="B194">
            <v>2218</v>
          </cell>
          <cell r="C194">
            <v>-117.868386</v>
          </cell>
          <cell r="D194">
            <v>-15.923605999999999</v>
          </cell>
        </row>
        <row r="195">
          <cell r="A195">
            <v>100</v>
          </cell>
          <cell r="B195">
            <v>22191</v>
          </cell>
          <cell r="C195">
            <v>-9.2933859999999999</v>
          </cell>
          <cell r="D195">
            <v>1836.132429</v>
          </cell>
        </row>
        <row r="196">
          <cell r="A196">
            <v>100</v>
          </cell>
          <cell r="B196">
            <v>22195</v>
          </cell>
          <cell r="C196">
            <v>-6.5649999999999997E-3</v>
          </cell>
          <cell r="D196">
            <v>38.381481999999998</v>
          </cell>
        </row>
        <row r="197">
          <cell r="A197">
            <v>100</v>
          </cell>
          <cell r="B197">
            <v>2275</v>
          </cell>
          <cell r="C197">
            <v>-32.337842000000002</v>
          </cell>
          <cell r="D197">
            <v>250.11019400000001</v>
          </cell>
        </row>
        <row r="198">
          <cell r="A198">
            <v>100</v>
          </cell>
          <cell r="B198">
            <v>26162</v>
          </cell>
          <cell r="C198">
            <v>0.36007299999999998</v>
          </cell>
          <cell r="D198">
            <v>0.28055000000000002</v>
          </cell>
        </row>
        <row r="199">
          <cell r="A199">
            <v>100</v>
          </cell>
          <cell r="B199">
            <v>26165</v>
          </cell>
          <cell r="C199">
            <v>-147.34007299999999</v>
          </cell>
          <cell r="D199">
            <v>-161.911812</v>
          </cell>
        </row>
        <row r="200">
          <cell r="A200">
            <v>100</v>
          </cell>
          <cell r="B200">
            <v>26190</v>
          </cell>
          <cell r="D200">
            <v>-3583.2780360000002</v>
          </cell>
        </row>
        <row r="201">
          <cell r="A201">
            <v>100</v>
          </cell>
          <cell r="B201">
            <v>26196</v>
          </cell>
          <cell r="C201">
            <v>-1562.9051730000001</v>
          </cell>
          <cell r="D201">
            <v>-1602.3513419999999</v>
          </cell>
        </row>
        <row r="202">
          <cell r="A202">
            <v>100</v>
          </cell>
          <cell r="B202">
            <v>26199</v>
          </cell>
          <cell r="D202">
            <v>0</v>
          </cell>
        </row>
        <row r="203">
          <cell r="A203">
            <v>100</v>
          </cell>
          <cell r="B203">
            <v>2634</v>
          </cell>
          <cell r="D203">
            <v>-268.52</v>
          </cell>
        </row>
        <row r="204">
          <cell r="A204">
            <v>100</v>
          </cell>
          <cell r="B204">
            <v>2635</v>
          </cell>
          <cell r="D204">
            <v>2132</v>
          </cell>
        </row>
        <row r="205">
          <cell r="A205">
            <v>100</v>
          </cell>
          <cell r="B205">
            <v>2636</v>
          </cell>
          <cell r="D205">
            <v>428.16</v>
          </cell>
        </row>
        <row r="206">
          <cell r="A206">
            <v>100</v>
          </cell>
          <cell r="B206">
            <v>27792</v>
          </cell>
          <cell r="D206">
            <v>50.444175999999999</v>
          </cell>
        </row>
        <row r="207">
          <cell r="A207">
            <v>100</v>
          </cell>
          <cell r="B207">
            <v>31121</v>
          </cell>
          <cell r="C207">
            <v>732.09894399999996</v>
          </cell>
          <cell r="D207">
            <v>6331.4241730000003</v>
          </cell>
        </row>
        <row r="208">
          <cell r="A208">
            <v>100</v>
          </cell>
          <cell r="B208">
            <v>3136</v>
          </cell>
          <cell r="C208">
            <v>2461.5885349999999</v>
          </cell>
          <cell r="D208">
            <v>28937.212189999998</v>
          </cell>
        </row>
        <row r="209">
          <cell r="A209">
            <v>100</v>
          </cell>
          <cell r="B209">
            <v>3226</v>
          </cell>
          <cell r="C209">
            <v>-4002.5878200000002</v>
          </cell>
          <cell r="D209">
            <v>-37091.087018999999</v>
          </cell>
        </row>
        <row r="210">
          <cell r="A210">
            <v>198</v>
          </cell>
          <cell r="B210">
            <v>1623</v>
          </cell>
          <cell r="C210">
            <v>-50958.501887999999</v>
          </cell>
          <cell r="D210">
            <v>-72048.501887999999</v>
          </cell>
        </row>
        <row r="211">
          <cell r="A211">
            <v>198</v>
          </cell>
          <cell r="B211">
            <v>26132</v>
          </cell>
          <cell r="C211">
            <v>-670.86758599999996</v>
          </cell>
          <cell r="D211">
            <v>-4069.930022</v>
          </cell>
        </row>
        <row r="212">
          <cell r="A212">
            <v>200</v>
          </cell>
          <cell r="B212">
            <v>22141</v>
          </cell>
          <cell r="D212">
            <v>-6.3528390000000003</v>
          </cell>
        </row>
        <row r="213">
          <cell r="A213">
            <v>200</v>
          </cell>
          <cell r="B213">
            <v>2275</v>
          </cell>
          <cell r="C213">
            <v>-36.646208000000001</v>
          </cell>
          <cell r="D213">
            <v>-519.87079500000004</v>
          </cell>
        </row>
        <row r="214">
          <cell r="A214">
            <v>300</v>
          </cell>
          <cell r="B214">
            <v>22171</v>
          </cell>
          <cell r="C214">
            <v>-2.2499999999999999E-2</v>
          </cell>
          <cell r="D214">
            <v>-0.1125</v>
          </cell>
        </row>
        <row r="215">
          <cell r="A215">
            <v>300</v>
          </cell>
          <cell r="B215">
            <v>22173</v>
          </cell>
          <cell r="D215">
            <v>-0.11200400000000001</v>
          </cell>
        </row>
        <row r="216">
          <cell r="A216">
            <v>300</v>
          </cell>
          <cell r="B216">
            <v>22174</v>
          </cell>
          <cell r="C216">
            <v>2.2499999999999999E-2</v>
          </cell>
          <cell r="D216">
            <v>0.1125</v>
          </cell>
        </row>
        <row r="217">
          <cell r="A217">
            <v>300</v>
          </cell>
          <cell r="B217">
            <v>22179</v>
          </cell>
          <cell r="C217">
            <v>10.642783</v>
          </cell>
          <cell r="D217">
            <v>52.190753999999998</v>
          </cell>
        </row>
        <row r="218">
          <cell r="A218">
            <v>300</v>
          </cell>
          <cell r="B218">
            <v>2275</v>
          </cell>
          <cell r="C218">
            <v>-2.931E-3</v>
          </cell>
          <cell r="D218">
            <v>1399.922525</v>
          </cell>
        </row>
        <row r="219">
          <cell r="A219">
            <v>400</v>
          </cell>
          <cell r="B219">
            <v>22355</v>
          </cell>
          <cell r="C219">
            <v>4308</v>
          </cell>
          <cell r="D219">
            <v>10324</v>
          </cell>
        </row>
        <row r="220">
          <cell r="A220">
            <v>400</v>
          </cell>
          <cell r="B220">
            <v>26190</v>
          </cell>
          <cell r="C220">
            <v>-9499.8676439999999</v>
          </cell>
          <cell r="D220">
            <v>-19753.777503000001</v>
          </cell>
        </row>
        <row r="221">
          <cell r="A221">
            <v>400</v>
          </cell>
          <cell r="B221">
            <v>26196</v>
          </cell>
          <cell r="C221">
            <v>-68.673822000000001</v>
          </cell>
          <cell r="D221">
            <v>-16633.028661</v>
          </cell>
        </row>
        <row r="222">
          <cell r="A222">
            <v>400</v>
          </cell>
          <cell r="B222">
            <v>26198</v>
          </cell>
          <cell r="C222">
            <v>-103.687372</v>
          </cell>
          <cell r="D222">
            <v>168.182692</v>
          </cell>
        </row>
        <row r="223">
          <cell r="A223">
            <v>400</v>
          </cell>
          <cell r="B223">
            <v>26199</v>
          </cell>
          <cell r="C223">
            <v>-46.729753000000002</v>
          </cell>
          <cell r="D223">
            <v>-124.105581</v>
          </cell>
        </row>
        <row r="224">
          <cell r="A224">
            <v>400</v>
          </cell>
          <cell r="B224">
            <v>2634</v>
          </cell>
          <cell r="C224">
            <v>-55802.906710000003</v>
          </cell>
          <cell r="D224">
            <v>-50697.555712000001</v>
          </cell>
        </row>
        <row r="225">
          <cell r="A225">
            <v>400</v>
          </cell>
          <cell r="B225">
            <v>2635</v>
          </cell>
          <cell r="C225">
            <v>59601.499190000002</v>
          </cell>
          <cell r="D225">
            <v>84886.499190000002</v>
          </cell>
        </row>
        <row r="226">
          <cell r="A226">
            <v>400</v>
          </cell>
          <cell r="B226">
            <v>2636</v>
          </cell>
          <cell r="C226">
            <v>-74815.712302</v>
          </cell>
          <cell r="D226">
            <v>-69776.462302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ATA"/>
      <sheetName val="IMAE TC Y ACELERACION"/>
      <sheetName val="ACELERACION"/>
      <sheetName val="DATOS"/>
      <sheetName val="LIB-NEG"/>
    </sheetNames>
    <sheetDataSet>
      <sheetData sheetId="0" refreshError="1">
        <row r="45">
          <cell r="B45" t="str">
            <v>E</v>
          </cell>
        </row>
        <row r="46">
          <cell r="B46" t="str">
            <v>F</v>
          </cell>
        </row>
        <row r="47">
          <cell r="B47" t="str">
            <v>M</v>
          </cell>
        </row>
        <row r="48">
          <cell r="B48" t="str">
            <v>A</v>
          </cell>
        </row>
        <row r="49">
          <cell r="B49" t="str">
            <v>M</v>
          </cell>
        </row>
        <row r="50">
          <cell r="B50" t="str">
            <v>J</v>
          </cell>
        </row>
        <row r="51">
          <cell r="B51" t="str">
            <v>J</v>
          </cell>
        </row>
        <row r="52">
          <cell r="B52" t="str">
            <v>A</v>
          </cell>
        </row>
        <row r="53">
          <cell r="B53" t="str">
            <v>S</v>
          </cell>
        </row>
        <row r="54">
          <cell r="B54" t="str">
            <v>O</v>
          </cell>
        </row>
        <row r="55">
          <cell r="B55" t="str">
            <v>N</v>
          </cell>
        </row>
        <row r="56">
          <cell r="B56" t="str">
            <v>D</v>
          </cell>
        </row>
        <row r="57">
          <cell r="B57" t="str">
            <v>E</v>
          </cell>
        </row>
        <row r="58">
          <cell r="B58" t="str">
            <v>F</v>
          </cell>
        </row>
        <row r="59">
          <cell r="B59" t="str">
            <v>M</v>
          </cell>
        </row>
        <row r="60">
          <cell r="B60" t="str">
            <v>A</v>
          </cell>
        </row>
        <row r="61">
          <cell r="B61" t="str">
            <v>M</v>
          </cell>
        </row>
        <row r="62">
          <cell r="B62" t="str">
            <v>J</v>
          </cell>
        </row>
        <row r="63">
          <cell r="B63" t="str">
            <v>J</v>
          </cell>
        </row>
        <row r="64">
          <cell r="B64" t="str">
            <v>A</v>
          </cell>
        </row>
        <row r="65">
          <cell r="B65" t="str">
            <v>S</v>
          </cell>
        </row>
        <row r="66">
          <cell r="B66" t="str">
            <v>O</v>
          </cell>
        </row>
        <row r="67">
          <cell r="B67" t="str">
            <v>N</v>
          </cell>
        </row>
        <row r="68">
          <cell r="B68" t="str">
            <v>D</v>
          </cell>
        </row>
        <row r="69">
          <cell r="B69" t="str">
            <v>E</v>
          </cell>
        </row>
        <row r="70">
          <cell r="B70" t="str">
            <v>F</v>
          </cell>
        </row>
        <row r="71">
          <cell r="B71" t="str">
            <v>M</v>
          </cell>
        </row>
        <row r="72">
          <cell r="B72" t="str">
            <v>A</v>
          </cell>
        </row>
        <row r="73">
          <cell r="B73" t="str">
            <v>M</v>
          </cell>
        </row>
        <row r="74">
          <cell r="B74" t="str">
            <v>J</v>
          </cell>
        </row>
        <row r="75">
          <cell r="B75" t="str">
            <v>J</v>
          </cell>
        </row>
        <row r="76">
          <cell r="B76" t="str">
            <v>A</v>
          </cell>
        </row>
        <row r="77">
          <cell r="B77" t="str">
            <v>S</v>
          </cell>
        </row>
        <row r="78">
          <cell r="B78" t="str">
            <v>O</v>
          </cell>
        </row>
        <row r="79">
          <cell r="B79" t="str">
            <v>N</v>
          </cell>
        </row>
        <row r="80">
          <cell r="B80" t="str">
            <v>D</v>
          </cell>
        </row>
        <row r="81">
          <cell r="B81" t="str">
            <v>E</v>
          </cell>
        </row>
        <row r="82">
          <cell r="B82" t="str">
            <v>F</v>
          </cell>
        </row>
        <row r="83">
          <cell r="B83" t="str">
            <v>M</v>
          </cell>
        </row>
        <row r="84">
          <cell r="B84" t="str">
            <v>A</v>
          </cell>
        </row>
        <row r="85">
          <cell r="B85" t="str">
            <v>M</v>
          </cell>
        </row>
        <row r="86">
          <cell r="B86" t="str">
            <v>J</v>
          </cell>
        </row>
        <row r="87">
          <cell r="B87" t="str">
            <v>J</v>
          </cell>
        </row>
        <row r="88">
          <cell r="B88" t="str">
            <v>A</v>
          </cell>
        </row>
        <row r="89">
          <cell r="B89" t="str">
            <v>S</v>
          </cell>
        </row>
        <row r="90">
          <cell r="B90" t="str">
            <v>O</v>
          </cell>
        </row>
        <row r="91">
          <cell r="B91" t="str">
            <v>N</v>
          </cell>
        </row>
        <row r="92">
          <cell r="B92" t="str">
            <v>D</v>
          </cell>
        </row>
        <row r="93">
          <cell r="B93" t="str">
            <v>E</v>
          </cell>
        </row>
        <row r="94">
          <cell r="B94" t="str">
            <v>F</v>
          </cell>
        </row>
        <row r="95">
          <cell r="B95" t="str">
            <v>M</v>
          </cell>
        </row>
        <row r="96">
          <cell r="B96" t="str">
            <v>A</v>
          </cell>
        </row>
        <row r="97">
          <cell r="B97" t="str">
            <v>M</v>
          </cell>
        </row>
        <row r="98">
          <cell r="B98" t="str">
            <v>J</v>
          </cell>
        </row>
        <row r="99">
          <cell r="B99" t="str">
            <v>J</v>
          </cell>
        </row>
        <row r="100">
          <cell r="B100" t="str">
            <v>A</v>
          </cell>
        </row>
        <row r="101">
          <cell r="B101" t="str">
            <v>S</v>
          </cell>
        </row>
        <row r="102">
          <cell r="B102" t="str">
            <v>O</v>
          </cell>
        </row>
        <row r="103">
          <cell r="B103" t="str">
            <v>N</v>
          </cell>
        </row>
        <row r="104">
          <cell r="B104" t="str">
            <v>D</v>
          </cell>
        </row>
        <row r="105">
          <cell r="B105" t="str">
            <v>E</v>
          </cell>
        </row>
        <row r="106">
          <cell r="B106" t="str">
            <v>F</v>
          </cell>
        </row>
        <row r="107">
          <cell r="B107" t="str">
            <v>M</v>
          </cell>
        </row>
        <row r="108">
          <cell r="B108" t="str">
            <v>A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9"/>
      <sheetName val="Chart2"/>
      <sheetName val="Chart3"/>
      <sheetName val="Chart1"/>
      <sheetName val="BOP-RED40"/>
      <sheetName val="RED41"/>
      <sheetName val="RED42"/>
      <sheetName val="RED43"/>
      <sheetName val="RED44"/>
      <sheetName val="RED45"/>
      <sheetName val="RED46"/>
      <sheetName val="RED47"/>
      <sheetName val="RED48"/>
      <sheetName val="RED49"/>
      <sheetName val="RED51"/>
      <sheetName val="RED50"/>
      <sheetName val="Chart4"/>
      <sheetName val="Chart5"/>
      <sheetName val="Chart6"/>
      <sheetName val="Chart7"/>
      <sheetName val="Chart8"/>
      <sheetName val="Sheet1"/>
      <sheetName val="#REF"/>
      <sheetName val="Table3"/>
      <sheetName val="IMATA"/>
      <sheetName val="Dsrv"/>
      <sheetName val="Dboj"/>
      <sheetName val="Dgg"/>
      <sheetName val="Dg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Table  47.  Ecuador: External Debt 1/</v>
          </cell>
        </row>
        <row r="5">
          <cell r="D5">
            <v>1992</v>
          </cell>
          <cell r="E5">
            <v>1993</v>
          </cell>
          <cell r="F5">
            <v>1994</v>
          </cell>
          <cell r="G5">
            <v>1995</v>
          </cell>
          <cell r="H5">
            <v>1996</v>
          </cell>
          <cell r="I5">
            <v>1997</v>
          </cell>
        </row>
        <row r="8">
          <cell r="A8" t="str">
            <v>(In millions of U.S. dollars)</v>
          </cell>
        </row>
        <row r="10">
          <cell r="A10" t="str">
            <v>Total debt</v>
          </cell>
          <cell r="D10">
            <v>12795</v>
          </cell>
          <cell r="E10">
            <v>13631</v>
          </cell>
          <cell r="F10">
            <v>14589</v>
          </cell>
          <cell r="G10">
            <v>13934</v>
          </cell>
          <cell r="H10">
            <v>14589</v>
          </cell>
          <cell r="I10">
            <v>15198.139999999998</v>
          </cell>
        </row>
        <row r="11">
          <cell r="A11" t="str">
            <v>Private sector</v>
          </cell>
          <cell r="D11">
            <v>800</v>
          </cell>
          <cell r="E11">
            <v>606</v>
          </cell>
          <cell r="F11">
            <v>832</v>
          </cell>
          <cell r="G11">
            <v>1555</v>
          </cell>
          <cell r="H11">
            <v>1958</v>
          </cell>
          <cell r="I11">
            <v>2520.1170000000002</v>
          </cell>
        </row>
        <row r="12">
          <cell r="A12" t="str">
            <v>Public sector</v>
          </cell>
          <cell r="D12">
            <v>11995</v>
          </cell>
          <cell r="E12">
            <v>13025</v>
          </cell>
          <cell r="F12">
            <v>13757</v>
          </cell>
          <cell r="G12">
            <v>12379</v>
          </cell>
          <cell r="H12">
            <v>12631</v>
          </cell>
          <cell r="I12">
            <v>12678.022999999997</v>
          </cell>
        </row>
        <row r="13">
          <cell r="A13" t="str">
            <v xml:space="preserve">   Nonfinancial public sector</v>
          </cell>
          <cell r="D13">
            <v>10611</v>
          </cell>
          <cell r="E13">
            <v>12397</v>
          </cell>
          <cell r="F13">
            <v>12986</v>
          </cell>
          <cell r="G13">
            <v>11597</v>
          </cell>
          <cell r="H13">
            <v>11669</v>
          </cell>
          <cell r="I13">
            <v>11880.722999999998</v>
          </cell>
        </row>
        <row r="14">
          <cell r="A14" t="str">
            <v xml:space="preserve">   Financial public sector</v>
          </cell>
          <cell r="D14">
            <v>1384</v>
          </cell>
          <cell r="E14">
            <v>628</v>
          </cell>
          <cell r="F14">
            <v>771</v>
          </cell>
          <cell r="G14">
            <v>782</v>
          </cell>
          <cell r="H14">
            <v>962</v>
          </cell>
          <cell r="I14">
            <v>797.3</v>
          </cell>
        </row>
        <row r="16">
          <cell r="A16" t="str">
            <v>Total debt</v>
          </cell>
          <cell r="D16">
            <v>12795</v>
          </cell>
          <cell r="E16">
            <v>13631</v>
          </cell>
          <cell r="F16">
            <v>14589</v>
          </cell>
          <cell r="G16">
            <v>13934</v>
          </cell>
          <cell r="H16">
            <v>14589</v>
          </cell>
          <cell r="I16">
            <v>15198.139999999998</v>
          </cell>
        </row>
        <row r="17">
          <cell r="A17" t="str">
            <v>Multilaterals</v>
          </cell>
          <cell r="D17">
            <v>2463</v>
          </cell>
          <cell r="E17">
            <v>2572</v>
          </cell>
          <cell r="F17">
            <v>2928</v>
          </cell>
          <cell r="G17">
            <v>3563</v>
          </cell>
          <cell r="H17">
            <v>3564</v>
          </cell>
          <cell r="I17">
            <v>3479.0499999999997</v>
          </cell>
        </row>
        <row r="18">
          <cell r="A18" t="str">
            <v>Bilaterals</v>
          </cell>
          <cell r="D18">
            <v>2124</v>
          </cell>
          <cell r="E18">
            <v>2200</v>
          </cell>
          <cell r="F18">
            <v>2277</v>
          </cell>
          <cell r="G18">
            <v>2329</v>
          </cell>
          <cell r="H18">
            <v>2345</v>
          </cell>
          <cell r="I18">
            <v>2353.3729999999996</v>
          </cell>
        </row>
        <row r="19">
          <cell r="A19" t="str">
            <v>Commercial banks</v>
          </cell>
          <cell r="D19">
            <v>7895</v>
          </cell>
          <cell r="E19">
            <v>8620</v>
          </cell>
          <cell r="F19">
            <v>9191</v>
          </cell>
          <cell r="G19">
            <v>7910</v>
          </cell>
          <cell r="H19">
            <v>8574</v>
          </cell>
          <cell r="I19">
            <v>9300.7170000000006</v>
          </cell>
        </row>
        <row r="20">
          <cell r="A20" t="str">
            <v xml:space="preserve">Suppliers </v>
          </cell>
          <cell r="D20">
            <v>313</v>
          </cell>
          <cell r="E20">
            <v>239</v>
          </cell>
          <cell r="F20">
            <v>193</v>
          </cell>
          <cell r="G20">
            <v>132</v>
          </cell>
          <cell r="H20">
            <v>106</v>
          </cell>
          <cell r="I20">
            <v>65</v>
          </cell>
        </row>
        <row r="22">
          <cell r="A22" t="str">
            <v>(Shares in percent of total)</v>
          </cell>
        </row>
        <row r="24">
          <cell r="A24" t="str">
            <v>Total debt</v>
          </cell>
          <cell r="D24">
            <v>100</v>
          </cell>
          <cell r="E24">
            <v>100</v>
          </cell>
          <cell r="F24">
            <v>100</v>
          </cell>
          <cell r="G24">
            <v>100</v>
          </cell>
          <cell r="H24">
            <v>100</v>
          </cell>
          <cell r="I24">
            <v>100</v>
          </cell>
        </row>
        <row r="25">
          <cell r="A25" t="str">
            <v>Private sector</v>
          </cell>
          <cell r="D25">
            <v>6.2524423602969907</v>
          </cell>
          <cell r="E25">
            <v>4.4457486611400485</v>
          </cell>
          <cell r="F25">
            <v>5.7029268627047776</v>
          </cell>
          <cell r="G25">
            <v>11.159753121860199</v>
          </cell>
          <cell r="H25">
            <v>13.421070669682639</v>
          </cell>
          <cell r="I25">
            <v>16.581746187362405</v>
          </cell>
        </row>
        <row r="26">
          <cell r="A26" t="str">
            <v>Public sector</v>
          </cell>
          <cell r="D26">
            <v>93.747557639703004</v>
          </cell>
          <cell r="E26">
            <v>95.554251338859956</v>
          </cell>
          <cell r="F26">
            <v>94.297073137295214</v>
          </cell>
          <cell r="G26">
            <v>88.840246878139808</v>
          </cell>
          <cell r="H26">
            <v>86.578929330317365</v>
          </cell>
          <cell r="I26">
            <v>83.418253812637602</v>
          </cell>
        </row>
        <row r="27">
          <cell r="A27" t="str">
            <v xml:space="preserve">   Nonfinancial public sector</v>
          </cell>
          <cell r="D27">
            <v>82.930832356389217</v>
          </cell>
          <cell r="E27">
            <v>90.947105861638917</v>
          </cell>
          <cell r="F27">
            <v>89.012269518130097</v>
          </cell>
          <cell r="G27">
            <v>83.228075211712365</v>
          </cell>
          <cell r="H27">
            <v>79.984920145314959</v>
          </cell>
          <cell r="I27">
            <v>78.172217126569436</v>
          </cell>
        </row>
        <row r="28">
          <cell r="A28" t="str">
            <v xml:space="preserve">   Financial public sector</v>
          </cell>
          <cell r="D28">
            <v>10.816725283313794</v>
          </cell>
          <cell r="E28">
            <v>4.6071454772210405</v>
          </cell>
          <cell r="F28">
            <v>5.2848036191651246</v>
          </cell>
          <cell r="G28">
            <v>5.6121716664274439</v>
          </cell>
          <cell r="H28">
            <v>6.594009185002399</v>
          </cell>
          <cell r="I28">
            <v>5.2460366860681642</v>
          </cell>
        </row>
        <row r="30">
          <cell r="A30" t="str">
            <v>Total debt</v>
          </cell>
          <cell r="D30">
            <v>100</v>
          </cell>
          <cell r="E30">
            <v>100</v>
          </cell>
          <cell r="F30">
            <v>100</v>
          </cell>
          <cell r="G30">
            <v>100</v>
          </cell>
          <cell r="H30">
            <v>100</v>
          </cell>
          <cell r="I30">
            <v>100</v>
          </cell>
        </row>
        <row r="31">
          <cell r="A31" t="str">
            <v>Multilaterals</v>
          </cell>
          <cell r="D31">
            <v>19.24970691676436</v>
          </cell>
          <cell r="E31">
            <v>18.868755043650502</v>
          </cell>
          <cell r="F31">
            <v>20.069915689903354</v>
          </cell>
          <cell r="G31">
            <v>25.570546863786419</v>
          </cell>
          <cell r="H31">
            <v>24.429364589759409</v>
          </cell>
          <cell r="I31">
            <v>22.891288012875261</v>
          </cell>
        </row>
        <row r="32">
          <cell r="A32" t="str">
            <v>Bilaterals</v>
          </cell>
          <cell r="D32">
            <v>16.60023446658851</v>
          </cell>
          <cell r="E32">
            <v>16.139681608099185</v>
          </cell>
          <cell r="F32">
            <v>15.607649599012955</v>
          </cell>
          <cell r="G32">
            <v>16.714511267403473</v>
          </cell>
          <cell r="H32">
            <v>16.073754198368633</v>
          </cell>
          <cell r="I32">
            <v>15.484611932775985</v>
          </cell>
        </row>
        <row r="33">
          <cell r="A33" t="str">
            <v>Commercial banks</v>
          </cell>
          <cell r="D33">
            <v>61.703790543180922</v>
          </cell>
          <cell r="E33">
            <v>63.238207028097712</v>
          </cell>
          <cell r="F33">
            <v>62.999520186441835</v>
          </cell>
          <cell r="G33">
            <v>56.767618774221326</v>
          </cell>
          <cell r="H33">
            <v>58.770306395229277</v>
          </cell>
          <cell r="I33">
            <v>61.196416140396138</v>
          </cell>
        </row>
        <row r="34">
          <cell r="A34" t="str">
            <v xml:space="preserve">Suppliers </v>
          </cell>
          <cell r="D34">
            <v>2.4462680734661979</v>
          </cell>
          <cell r="E34">
            <v>1.7533563201525932</v>
          </cell>
          <cell r="F34">
            <v>1.3229145246418534</v>
          </cell>
          <cell r="G34">
            <v>0.94732309458877562</v>
          </cell>
          <cell r="H34">
            <v>0.72657481664267598</v>
          </cell>
          <cell r="I34">
            <v>0.4276839139526285</v>
          </cell>
        </row>
        <row r="36">
          <cell r="A36" t="str">
            <v>(In percent of GDP)</v>
          </cell>
        </row>
        <row r="38">
          <cell r="A38" t="str">
            <v>Total debt</v>
          </cell>
          <cell r="D38">
            <v>105.6</v>
          </cell>
          <cell r="E38">
            <v>95.294350296892645</v>
          </cell>
          <cell r="F38">
            <v>87.854751631120109</v>
          </cell>
          <cell r="G38">
            <v>77.658463210520594</v>
          </cell>
          <cell r="H38">
            <v>76.15493031267944</v>
          </cell>
          <cell r="I38">
            <v>76.913663967611328</v>
          </cell>
        </row>
        <row r="39">
          <cell r="A39" t="str">
            <v>Private sector</v>
          </cell>
          <cell r="D39">
            <v>6.6025791324736218</v>
          </cell>
          <cell r="E39">
            <v>4.2365473024662128</v>
          </cell>
          <cell r="F39">
            <v>5.0102922309337128</v>
          </cell>
          <cell r="G39">
            <v>8.6664927725247249</v>
          </cell>
          <cell r="H39">
            <v>10.220807015712273</v>
          </cell>
          <cell r="I39">
            <v>12.753628542510123</v>
          </cell>
        </row>
        <row r="40">
          <cell r="A40" t="str">
            <v>Public sector</v>
          </cell>
          <cell r="D40">
            <v>98.997420867526372</v>
          </cell>
          <cell r="E40">
            <v>91.057802994426424</v>
          </cell>
          <cell r="F40">
            <v>82.844459400186395</v>
          </cell>
          <cell r="G40">
            <v>68.991970437995874</v>
          </cell>
          <cell r="H40">
            <v>65.934123296967158</v>
          </cell>
          <cell r="I40">
            <v>64.160035425101199</v>
          </cell>
        </row>
        <row r="41">
          <cell r="A41" t="str">
            <v xml:space="preserve">   Nonfinancial public sector</v>
          </cell>
          <cell r="D41">
            <v>87.574958968347005</v>
          </cell>
          <cell r="E41">
            <v>86.667453644675959</v>
          </cell>
          <cell r="F41">
            <v>78.201508306376425</v>
          </cell>
          <cell r="G41">
            <v>64.63364416911206</v>
          </cell>
          <cell r="H41">
            <v>60.912460197316896</v>
          </cell>
          <cell r="I41">
            <v>58.415385234165257</v>
          </cell>
        </row>
        <row r="42">
          <cell r="A42" t="str">
            <v xml:space="preserve">   Financial public sector</v>
          </cell>
          <cell r="D42">
            <v>11.422461899179366</v>
          </cell>
          <cell r="E42">
            <v>4.3903493497504646</v>
          </cell>
          <cell r="F42">
            <v>4.642951093809967</v>
          </cell>
          <cell r="G42">
            <v>4.3583262688838174</v>
          </cell>
          <cell r="H42">
            <v>5.0216630996502589</v>
          </cell>
          <cell r="I42">
            <v>5.7446501909359462</v>
          </cell>
        </row>
        <row r="44">
          <cell r="A44" t="str">
            <v>Total debt</v>
          </cell>
          <cell r="D44">
            <v>105.6</v>
          </cell>
          <cell r="E44">
            <v>95.294350296892645</v>
          </cell>
          <cell r="F44">
            <v>87.854751631120109</v>
          </cell>
          <cell r="G44">
            <v>77.658463210520594</v>
          </cell>
          <cell r="H44">
            <v>76.15493031267944</v>
          </cell>
          <cell r="I44">
            <v>76.913663967611328</v>
          </cell>
        </row>
        <row r="45">
          <cell r="A45" t="str">
            <v>Multilaterals</v>
          </cell>
          <cell r="D45">
            <v>20.327690504103163</v>
          </cell>
          <cell r="E45">
            <v>17.980857527958907</v>
          </cell>
          <cell r="F45">
            <v>17.632374581939796</v>
          </cell>
          <cell r="G45">
            <v>19.857693728942508</v>
          </cell>
          <cell r="H45">
            <v>18.604165579161663</v>
          </cell>
          <cell r="I45">
            <v>17.60652834008097</v>
          </cell>
        </row>
        <row r="46">
          <cell r="A46" t="str">
            <v>Bilaterals</v>
          </cell>
          <cell r="D46">
            <v>17.529847596717467</v>
          </cell>
          <cell r="E46">
            <v>15.380204728425193</v>
          </cell>
          <cell r="F46">
            <v>13.712061790668345</v>
          </cell>
          <cell r="G46">
            <v>12.980232583414846</v>
          </cell>
          <cell r="H46">
            <v>12.240956308399019</v>
          </cell>
          <cell r="I46">
            <v>11.909782388663965</v>
          </cell>
        </row>
        <row r="47">
          <cell r="A47" t="str">
            <v>Commercial banks</v>
          </cell>
          <cell r="D47">
            <v>65.159202813599052</v>
          </cell>
          <cell r="E47">
            <v>60.262438526829627</v>
          </cell>
          <cell r="F47">
            <v>55.348071988595862</v>
          </cell>
          <cell r="G47">
            <v>44.084860341267259</v>
          </cell>
          <cell r="H47">
            <v>44.756485879835054</v>
          </cell>
          <cell r="I47">
            <v>47.068405870445339</v>
          </cell>
        </row>
        <row r="48">
          <cell r="A48" t="str">
            <v xml:space="preserve">Suppliers </v>
          </cell>
          <cell r="D48">
            <v>2.5832590855803046</v>
          </cell>
          <cell r="E48">
            <v>1.6708495136789188</v>
          </cell>
          <cell r="F48">
            <v>1.1622432699161138</v>
          </cell>
          <cell r="G48">
            <v>0.73567655689598965</v>
          </cell>
          <cell r="H48">
            <v>0.55332254528370828</v>
          </cell>
          <cell r="I48">
            <v>0.3289473684210526</v>
          </cell>
        </row>
        <row r="51">
          <cell r="A51" t="str">
            <v xml:space="preserve">   Sources: Central Bank of Ecuador; and Fund staff estimates.</v>
          </cell>
        </row>
        <row r="53">
          <cell r="A53" t="str">
            <v xml:space="preserve">   1/ Including unpaid late interest and outstanding obligations to the Fund.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íða"/>
      <sheetName val="Nýtt yfirlit 1"/>
      <sheetName val="Y2"/>
      <sheetName val="Y3"/>
      <sheetName val="Y4"/>
      <sheetName val="Y5"/>
      <sheetName val="Y6"/>
      <sheetName val="Y7"/>
      <sheetName val="Y8"/>
      <sheetName val="Y13"/>
      <sheetName val="MANUDUR"/>
      <sheetName val="Áætlun"/>
      <sheetName val="EFN_MMB_"/>
      <sheetName val="EFN_HMB_"/>
      <sheetName val="EFN_MAN_"/>
      <sheetName val="Efn_FA"/>
      <sheetName val="EFN_F2"/>
      <sheetName val="Efn_fa_h"/>
      <sheetName val="EFN_FAL"/>
      <sheetName val="efn_f2l"/>
      <sheetName val="mal"/>
      <sheetName val="mal_fa"/>
      <sheetName val="Fjárlög_sund"/>
      <sheetName val="tegsun"/>
      <sheetName val="Tegsun_fyrra"/>
      <sheetName val="Fjarh_man"/>
      <sheetName val="TEKJUR"/>
      <sheetName val="TEKJUR_M"/>
      <sheetName val="TEKJU_FA"/>
      <sheetName val="Fjárheimild mánaða tekjur"/>
      <sheetName val="FJARLTEK"/>
      <sheetName val="Efnahag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">
          <cell r="A1" t="str">
            <v>RADUNEYTI</v>
          </cell>
          <cell r="B1" t="str">
            <v>STOFNUN</v>
          </cell>
          <cell r="C1" t="str">
            <v>Vidf</v>
          </cell>
          <cell r="D1" t="str">
            <v>Teg</v>
          </cell>
          <cell r="E1" t="str">
            <v>man</v>
          </cell>
          <cell r="F1" t="str">
            <v>sam</v>
          </cell>
        </row>
        <row r="2">
          <cell r="A2">
            <v>0</v>
          </cell>
          <cell r="B2">
            <v>101</v>
          </cell>
          <cell r="C2">
            <v>1</v>
          </cell>
          <cell r="D2">
            <v>4</v>
          </cell>
          <cell r="E2">
            <v>0</v>
          </cell>
          <cell r="F2">
            <v>-0.701878</v>
          </cell>
        </row>
        <row r="3">
          <cell r="A3">
            <v>0</v>
          </cell>
          <cell r="B3">
            <v>101</v>
          </cell>
          <cell r="C3">
            <v>1</v>
          </cell>
          <cell r="D3">
            <v>51</v>
          </cell>
          <cell r="E3">
            <v>9.2080739999999999</v>
          </cell>
          <cell r="F3">
            <v>27.211012</v>
          </cell>
        </row>
        <row r="4">
          <cell r="A4">
            <v>0</v>
          </cell>
          <cell r="B4">
            <v>101</v>
          </cell>
          <cell r="C4">
            <v>1</v>
          </cell>
          <cell r="D4">
            <v>52</v>
          </cell>
          <cell r="E4">
            <v>2.2988270000000002</v>
          </cell>
          <cell r="F4">
            <v>10.970922</v>
          </cell>
        </row>
        <row r="5">
          <cell r="A5">
            <v>0</v>
          </cell>
          <cell r="B5">
            <v>201</v>
          </cell>
          <cell r="C5">
            <v>1</v>
          </cell>
          <cell r="D5">
            <v>4</v>
          </cell>
          <cell r="E5">
            <v>-1.3762620000000001</v>
          </cell>
          <cell r="F5">
            <v>-3.6781100000000002</v>
          </cell>
        </row>
        <row r="6">
          <cell r="A6">
            <v>0</v>
          </cell>
          <cell r="B6">
            <v>201</v>
          </cell>
          <cell r="C6">
            <v>1</v>
          </cell>
          <cell r="D6">
            <v>51</v>
          </cell>
          <cell r="E6">
            <v>109.061683</v>
          </cell>
          <cell r="F6">
            <v>331.60488600000002</v>
          </cell>
        </row>
        <row r="7">
          <cell r="A7">
            <v>0</v>
          </cell>
          <cell r="B7">
            <v>201</v>
          </cell>
          <cell r="C7">
            <v>1</v>
          </cell>
          <cell r="D7">
            <v>52</v>
          </cell>
          <cell r="E7">
            <v>56.027605999999999</v>
          </cell>
          <cell r="F7">
            <v>205.275137</v>
          </cell>
        </row>
        <row r="8">
          <cell r="A8">
            <v>0</v>
          </cell>
          <cell r="B8">
            <v>201</v>
          </cell>
          <cell r="C8">
            <v>1</v>
          </cell>
          <cell r="D8">
            <v>591</v>
          </cell>
          <cell r="E8">
            <v>0</v>
          </cell>
          <cell r="F8">
            <v>19.307569999999998</v>
          </cell>
        </row>
        <row r="9">
          <cell r="A9">
            <v>0</v>
          </cell>
          <cell r="B9">
            <v>201</v>
          </cell>
          <cell r="C9">
            <v>5</v>
          </cell>
          <cell r="D9">
            <v>52</v>
          </cell>
          <cell r="E9">
            <v>0</v>
          </cell>
          <cell r="F9">
            <v>1.272154</v>
          </cell>
        </row>
        <row r="10">
          <cell r="A10">
            <v>0</v>
          </cell>
          <cell r="B10">
            <v>201</v>
          </cell>
          <cell r="C10">
            <v>6</v>
          </cell>
          <cell r="D10">
            <v>52</v>
          </cell>
          <cell r="E10">
            <v>4.1191839999999997</v>
          </cell>
          <cell r="F10">
            <v>9.9810179999999988</v>
          </cell>
        </row>
        <row r="11">
          <cell r="A11">
            <v>0</v>
          </cell>
          <cell r="B11">
            <v>207</v>
          </cell>
          <cell r="C11">
            <v>1</v>
          </cell>
          <cell r="D11">
            <v>51</v>
          </cell>
          <cell r="E11">
            <v>11.797352999999999</v>
          </cell>
          <cell r="F11">
            <v>35.330008999999997</v>
          </cell>
        </row>
        <row r="12">
          <cell r="A12">
            <v>0</v>
          </cell>
          <cell r="B12">
            <v>207</v>
          </cell>
          <cell r="C12">
            <v>1</v>
          </cell>
          <cell r="D12">
            <v>52</v>
          </cell>
          <cell r="E12">
            <v>4.3184649999999998</v>
          </cell>
          <cell r="F12">
            <v>21.852788</v>
          </cell>
        </row>
        <row r="13">
          <cell r="A13">
            <v>0</v>
          </cell>
          <cell r="B13">
            <v>301</v>
          </cell>
          <cell r="C13">
            <v>1</v>
          </cell>
          <cell r="D13">
            <v>51</v>
          </cell>
          <cell r="E13">
            <v>15.586786999999999</v>
          </cell>
          <cell r="F13">
            <v>47.573709999999998</v>
          </cell>
        </row>
        <row r="14">
          <cell r="A14">
            <v>0</v>
          </cell>
          <cell r="B14">
            <v>401</v>
          </cell>
          <cell r="C14">
            <v>1</v>
          </cell>
          <cell r="D14">
            <v>51</v>
          </cell>
          <cell r="E14">
            <v>10.225578000000001</v>
          </cell>
          <cell r="F14">
            <v>30.062118999999999</v>
          </cell>
        </row>
        <row r="15">
          <cell r="A15">
            <v>0</v>
          </cell>
          <cell r="B15">
            <v>401</v>
          </cell>
          <cell r="C15">
            <v>1</v>
          </cell>
          <cell r="D15">
            <v>52</v>
          </cell>
          <cell r="E15">
            <v>0</v>
          </cell>
          <cell r="F15">
            <v>0.122671</v>
          </cell>
        </row>
        <row r="16">
          <cell r="A16">
            <v>0</v>
          </cell>
          <cell r="B16">
            <v>610</v>
          </cell>
          <cell r="C16">
            <v>1</v>
          </cell>
          <cell r="D16">
            <v>51</v>
          </cell>
          <cell r="E16">
            <v>6.1633089999999999</v>
          </cell>
          <cell r="F16">
            <v>19.060234999999999</v>
          </cell>
        </row>
        <row r="17">
          <cell r="A17">
            <v>0</v>
          </cell>
          <cell r="B17">
            <v>610</v>
          </cell>
          <cell r="C17">
            <v>1</v>
          </cell>
          <cell r="D17">
            <v>52</v>
          </cell>
          <cell r="E17">
            <v>1.84199</v>
          </cell>
          <cell r="F17">
            <v>4.9297950000000004</v>
          </cell>
        </row>
        <row r="18">
          <cell r="A18">
            <v>0</v>
          </cell>
          <cell r="B18">
            <v>620</v>
          </cell>
          <cell r="C18">
            <v>1</v>
          </cell>
          <cell r="D18">
            <v>4</v>
          </cell>
          <cell r="E18">
            <v>0</v>
          </cell>
          <cell r="F18">
            <v>-23.146118000000001</v>
          </cell>
        </row>
        <row r="19">
          <cell r="A19">
            <v>0</v>
          </cell>
          <cell r="B19">
            <v>620</v>
          </cell>
          <cell r="C19">
            <v>1</v>
          </cell>
          <cell r="D19">
            <v>51</v>
          </cell>
          <cell r="E19">
            <v>28.156939999999999</v>
          </cell>
          <cell r="F19">
            <v>84.236825999999994</v>
          </cell>
        </row>
        <row r="20">
          <cell r="A20">
            <v>0</v>
          </cell>
          <cell r="B20">
            <v>620</v>
          </cell>
          <cell r="C20">
            <v>1</v>
          </cell>
          <cell r="D20">
            <v>52</v>
          </cell>
          <cell r="E20">
            <v>6.7599689999999999</v>
          </cell>
          <cell r="F20">
            <v>36.646839</v>
          </cell>
        </row>
        <row r="21">
          <cell r="A21">
            <v>0</v>
          </cell>
          <cell r="B21">
            <v>620</v>
          </cell>
          <cell r="C21">
            <v>1</v>
          </cell>
          <cell r="D21">
            <v>591</v>
          </cell>
          <cell r="E21">
            <v>0</v>
          </cell>
          <cell r="F21">
            <v>6.2249999999999996E-3</v>
          </cell>
        </row>
        <row r="22">
          <cell r="A22">
            <v>1</v>
          </cell>
          <cell r="B22">
            <v>1101</v>
          </cell>
          <cell r="C22">
            <v>1</v>
          </cell>
          <cell r="D22">
            <v>4</v>
          </cell>
          <cell r="E22">
            <v>-0.123476</v>
          </cell>
          <cell r="F22">
            <v>-0.123476</v>
          </cell>
        </row>
        <row r="23">
          <cell r="A23">
            <v>1</v>
          </cell>
          <cell r="B23">
            <v>1101</v>
          </cell>
          <cell r="C23">
            <v>1</v>
          </cell>
          <cell r="D23">
            <v>51</v>
          </cell>
          <cell r="E23">
            <v>16.581368000000001</v>
          </cell>
          <cell r="F23">
            <v>47.910040000000002</v>
          </cell>
        </row>
        <row r="24">
          <cell r="A24">
            <v>1</v>
          </cell>
          <cell r="B24">
            <v>1101</v>
          </cell>
          <cell r="C24">
            <v>1</v>
          </cell>
          <cell r="D24">
            <v>52</v>
          </cell>
          <cell r="E24">
            <v>3.9316140000000002</v>
          </cell>
          <cell r="F24">
            <v>15.673632999999999</v>
          </cell>
        </row>
        <row r="25">
          <cell r="A25">
            <v>1</v>
          </cell>
          <cell r="B25">
            <v>1101</v>
          </cell>
          <cell r="C25">
            <v>1</v>
          </cell>
          <cell r="D25">
            <v>591</v>
          </cell>
          <cell r="E25">
            <v>4.0000000000000001E-3</v>
          </cell>
          <cell r="F25">
            <v>4.0000000000000001E-3</v>
          </cell>
        </row>
        <row r="26">
          <cell r="A26">
            <v>1</v>
          </cell>
          <cell r="B26">
            <v>1190</v>
          </cell>
          <cell r="C26">
            <v>1</v>
          </cell>
          <cell r="D26">
            <v>51</v>
          </cell>
          <cell r="E26">
            <v>1.694145</v>
          </cell>
          <cell r="F26">
            <v>6.7242160000000002</v>
          </cell>
        </row>
        <row r="27">
          <cell r="A27">
            <v>1</v>
          </cell>
          <cell r="B27">
            <v>1190</v>
          </cell>
          <cell r="C27">
            <v>1</v>
          </cell>
          <cell r="D27">
            <v>52</v>
          </cell>
          <cell r="E27">
            <v>7.908976</v>
          </cell>
          <cell r="F27">
            <v>26.977376</v>
          </cell>
        </row>
        <row r="28">
          <cell r="A28">
            <v>1</v>
          </cell>
          <cell r="B28">
            <v>1190</v>
          </cell>
          <cell r="C28">
            <v>1</v>
          </cell>
          <cell r="D28">
            <v>591</v>
          </cell>
          <cell r="E28">
            <v>5.5848339999999999</v>
          </cell>
          <cell r="F28">
            <v>33.584834000000001</v>
          </cell>
        </row>
        <row r="29">
          <cell r="A29">
            <v>1</v>
          </cell>
          <cell r="B29">
            <v>1201</v>
          </cell>
          <cell r="C29">
            <v>1</v>
          </cell>
          <cell r="D29">
            <v>51</v>
          </cell>
          <cell r="E29">
            <v>1.141875</v>
          </cell>
          <cell r="F29">
            <v>3.4250470000000002</v>
          </cell>
        </row>
        <row r="30">
          <cell r="A30">
            <v>1</v>
          </cell>
          <cell r="B30">
            <v>1201</v>
          </cell>
          <cell r="C30">
            <v>1</v>
          </cell>
          <cell r="D30">
            <v>52</v>
          </cell>
          <cell r="E30">
            <v>2.1211769999999999</v>
          </cell>
          <cell r="F30">
            <v>7.3210810000000004</v>
          </cell>
        </row>
        <row r="31">
          <cell r="A31">
            <v>1</v>
          </cell>
          <cell r="B31">
            <v>1201</v>
          </cell>
          <cell r="C31">
            <v>5</v>
          </cell>
          <cell r="D31">
            <v>52</v>
          </cell>
          <cell r="E31">
            <v>0.83358900000000002</v>
          </cell>
          <cell r="F31">
            <v>2.9947840000000001</v>
          </cell>
        </row>
        <row r="32">
          <cell r="A32">
            <v>1</v>
          </cell>
          <cell r="B32">
            <v>1203</v>
          </cell>
          <cell r="C32">
            <v>1</v>
          </cell>
          <cell r="D32">
            <v>51</v>
          </cell>
          <cell r="E32">
            <v>0.58080699999999996</v>
          </cell>
          <cell r="F32">
            <v>1.7437469999999999</v>
          </cell>
        </row>
        <row r="33">
          <cell r="A33">
            <v>1</v>
          </cell>
          <cell r="B33">
            <v>1203</v>
          </cell>
          <cell r="C33">
            <v>1</v>
          </cell>
          <cell r="D33">
            <v>52</v>
          </cell>
          <cell r="E33">
            <v>0</v>
          </cell>
          <cell r="F33">
            <v>1.5334E-2</v>
          </cell>
        </row>
        <row r="34">
          <cell r="A34">
            <v>1</v>
          </cell>
          <cell r="B34">
            <v>1203</v>
          </cell>
          <cell r="C34">
            <v>6</v>
          </cell>
          <cell r="D34">
            <v>52</v>
          </cell>
          <cell r="E34">
            <v>0</v>
          </cell>
          <cell r="F34">
            <v>6.2550999999999995E-2</v>
          </cell>
        </row>
        <row r="35">
          <cell r="A35">
            <v>1</v>
          </cell>
          <cell r="B35">
            <v>1231</v>
          </cell>
          <cell r="C35">
            <v>1</v>
          </cell>
          <cell r="D35">
            <v>52</v>
          </cell>
          <cell r="E35">
            <v>-2.9982000000000002E-2</v>
          </cell>
          <cell r="F35">
            <v>0</v>
          </cell>
        </row>
        <row r="36">
          <cell r="A36">
            <v>1</v>
          </cell>
          <cell r="B36">
            <v>1241</v>
          </cell>
          <cell r="C36">
            <v>1</v>
          </cell>
          <cell r="D36">
            <v>4</v>
          </cell>
          <cell r="E36">
            <v>0</v>
          </cell>
          <cell r="F36">
            <v>0.112175</v>
          </cell>
        </row>
        <row r="37">
          <cell r="A37">
            <v>1</v>
          </cell>
          <cell r="B37">
            <v>1241</v>
          </cell>
          <cell r="C37">
            <v>1</v>
          </cell>
          <cell r="D37">
            <v>51</v>
          </cell>
          <cell r="E37">
            <v>1.700785</v>
          </cell>
          <cell r="F37">
            <v>5.143351</v>
          </cell>
        </row>
        <row r="38">
          <cell r="A38">
            <v>1</v>
          </cell>
          <cell r="B38">
            <v>1241</v>
          </cell>
          <cell r="C38">
            <v>1</v>
          </cell>
          <cell r="D38">
            <v>52</v>
          </cell>
          <cell r="E38">
            <v>0.37980700000000001</v>
          </cell>
          <cell r="F38">
            <v>1.5185249999999999</v>
          </cell>
        </row>
        <row r="39">
          <cell r="A39">
            <v>1</v>
          </cell>
          <cell r="B39">
            <v>1261</v>
          </cell>
          <cell r="C39">
            <v>1</v>
          </cell>
          <cell r="D39">
            <v>51</v>
          </cell>
          <cell r="E39">
            <v>0.994502</v>
          </cell>
          <cell r="F39">
            <v>3.1732130000000001</v>
          </cell>
        </row>
        <row r="40">
          <cell r="A40">
            <v>1</v>
          </cell>
          <cell r="B40">
            <v>1261</v>
          </cell>
          <cell r="C40">
            <v>1</v>
          </cell>
          <cell r="D40">
            <v>52</v>
          </cell>
          <cell r="E40">
            <v>1.755973</v>
          </cell>
          <cell r="F40">
            <v>2.7554270000000001</v>
          </cell>
        </row>
        <row r="41">
          <cell r="A41">
            <v>1</v>
          </cell>
          <cell r="B41">
            <v>1271</v>
          </cell>
          <cell r="C41">
            <v>1</v>
          </cell>
          <cell r="D41">
            <v>4</v>
          </cell>
          <cell r="E41">
            <v>-0.25</v>
          </cell>
          <cell r="F41">
            <v>-3.4039220000000001</v>
          </cell>
        </row>
        <row r="42">
          <cell r="A42">
            <v>1</v>
          </cell>
          <cell r="B42">
            <v>1271</v>
          </cell>
          <cell r="C42">
            <v>1</v>
          </cell>
          <cell r="D42">
            <v>51</v>
          </cell>
          <cell r="E42">
            <v>4.0654409999999999</v>
          </cell>
          <cell r="F42">
            <v>12.199471000000001</v>
          </cell>
        </row>
        <row r="43">
          <cell r="A43">
            <v>1</v>
          </cell>
          <cell r="B43">
            <v>1271</v>
          </cell>
          <cell r="C43">
            <v>1</v>
          </cell>
          <cell r="D43">
            <v>52</v>
          </cell>
          <cell r="E43">
            <v>1.917608</v>
          </cell>
          <cell r="F43">
            <v>4.3050110000000004</v>
          </cell>
        </row>
        <row r="44">
          <cell r="A44">
            <v>1</v>
          </cell>
          <cell r="B44">
            <v>1902</v>
          </cell>
          <cell r="C44">
            <v>1</v>
          </cell>
          <cell r="D44">
            <v>4</v>
          </cell>
          <cell r="E44">
            <v>0</v>
          </cell>
          <cell r="F44">
            <v>-1.356E-3</v>
          </cell>
        </row>
        <row r="45">
          <cell r="A45">
            <v>1</v>
          </cell>
          <cell r="B45">
            <v>1902</v>
          </cell>
          <cell r="C45">
            <v>1</v>
          </cell>
          <cell r="D45">
            <v>51</v>
          </cell>
          <cell r="E45">
            <v>2.1579079999999999</v>
          </cell>
          <cell r="F45">
            <v>6.3748180000000003</v>
          </cell>
        </row>
        <row r="46">
          <cell r="A46">
            <v>1</v>
          </cell>
          <cell r="B46">
            <v>1902</v>
          </cell>
          <cell r="C46">
            <v>1</v>
          </cell>
          <cell r="D46">
            <v>52</v>
          </cell>
          <cell r="E46">
            <v>1.7887729999999999</v>
          </cell>
          <cell r="F46">
            <v>5.9357319999999998</v>
          </cell>
        </row>
        <row r="47">
          <cell r="A47">
            <v>1</v>
          </cell>
          <cell r="B47">
            <v>1902</v>
          </cell>
          <cell r="C47">
            <v>1</v>
          </cell>
          <cell r="D47">
            <v>591</v>
          </cell>
          <cell r="E47">
            <v>0</v>
          </cell>
          <cell r="F47">
            <v>1</v>
          </cell>
        </row>
        <row r="48">
          <cell r="A48">
            <v>1</v>
          </cell>
          <cell r="B48">
            <v>1902</v>
          </cell>
          <cell r="C48">
            <v>6</v>
          </cell>
          <cell r="D48">
            <v>52</v>
          </cell>
          <cell r="E48">
            <v>0</v>
          </cell>
          <cell r="F48">
            <v>0.35166799999999998</v>
          </cell>
        </row>
        <row r="49">
          <cell r="A49">
            <v>1</v>
          </cell>
          <cell r="B49">
            <v>1996</v>
          </cell>
          <cell r="C49">
            <v>1</v>
          </cell>
          <cell r="D49">
            <v>51</v>
          </cell>
          <cell r="E49">
            <v>1.2488619999999999</v>
          </cell>
          <cell r="F49">
            <v>3.7376999999999998</v>
          </cell>
        </row>
        <row r="50">
          <cell r="A50">
            <v>1</v>
          </cell>
          <cell r="B50">
            <v>1996</v>
          </cell>
          <cell r="C50">
            <v>1</v>
          </cell>
          <cell r="D50">
            <v>52</v>
          </cell>
          <cell r="E50">
            <v>0.57017399999999996</v>
          </cell>
          <cell r="F50">
            <v>4.508864</v>
          </cell>
        </row>
        <row r="51">
          <cell r="A51">
            <v>1</v>
          </cell>
          <cell r="B51">
            <v>1996</v>
          </cell>
          <cell r="C51">
            <v>6</v>
          </cell>
          <cell r="D51">
            <v>52</v>
          </cell>
          <cell r="E51">
            <v>0.30182999999999999</v>
          </cell>
          <cell r="F51">
            <v>3.0033620000000001</v>
          </cell>
        </row>
        <row r="52">
          <cell r="A52">
            <v>2</v>
          </cell>
          <cell r="B52">
            <v>2101</v>
          </cell>
          <cell r="C52">
            <v>1</v>
          </cell>
          <cell r="D52">
            <v>4</v>
          </cell>
          <cell r="E52">
            <v>-0.03</v>
          </cell>
          <cell r="F52">
            <v>-0.03</v>
          </cell>
        </row>
        <row r="53">
          <cell r="A53">
            <v>2</v>
          </cell>
          <cell r="B53">
            <v>2101</v>
          </cell>
          <cell r="C53">
            <v>1</v>
          </cell>
          <cell r="D53">
            <v>51</v>
          </cell>
          <cell r="E53">
            <v>41.062066999999999</v>
          </cell>
          <cell r="F53">
            <v>123.507445</v>
          </cell>
        </row>
        <row r="54">
          <cell r="A54">
            <v>2</v>
          </cell>
          <cell r="B54">
            <v>2101</v>
          </cell>
          <cell r="C54">
            <v>1</v>
          </cell>
          <cell r="D54">
            <v>52</v>
          </cell>
          <cell r="E54">
            <v>9.1396739999999994</v>
          </cell>
          <cell r="F54">
            <v>29.479458000000001</v>
          </cell>
        </row>
        <row r="55">
          <cell r="A55">
            <v>2</v>
          </cell>
          <cell r="B55">
            <v>2101</v>
          </cell>
          <cell r="C55">
            <v>1</v>
          </cell>
          <cell r="D55">
            <v>591</v>
          </cell>
          <cell r="E55">
            <v>0.42620000000000002</v>
          </cell>
          <cell r="F55">
            <v>0.42620000000000002</v>
          </cell>
        </row>
        <row r="56">
          <cell r="A56">
            <v>2</v>
          </cell>
          <cell r="B56">
            <v>2201</v>
          </cell>
          <cell r="C56">
            <v>1</v>
          </cell>
          <cell r="D56">
            <v>4</v>
          </cell>
          <cell r="E56">
            <v>-276.58711299999999</v>
          </cell>
          <cell r="F56">
            <v>-678.61643700000002</v>
          </cell>
        </row>
        <row r="57">
          <cell r="A57">
            <v>2</v>
          </cell>
          <cell r="B57">
            <v>2201</v>
          </cell>
          <cell r="C57">
            <v>1</v>
          </cell>
          <cell r="D57">
            <v>51</v>
          </cell>
          <cell r="E57">
            <v>667.93155899999999</v>
          </cell>
          <cell r="F57">
            <v>1997.2610340000001</v>
          </cell>
        </row>
        <row r="58">
          <cell r="A58">
            <v>2</v>
          </cell>
          <cell r="B58">
            <v>2201</v>
          </cell>
          <cell r="C58">
            <v>1</v>
          </cell>
          <cell r="D58">
            <v>52</v>
          </cell>
          <cell r="E58">
            <v>200.84231600000001</v>
          </cell>
          <cell r="F58">
            <v>631.43194199999994</v>
          </cell>
        </row>
        <row r="59">
          <cell r="A59">
            <v>2</v>
          </cell>
          <cell r="B59">
            <v>2201</v>
          </cell>
          <cell r="C59">
            <v>1</v>
          </cell>
          <cell r="D59">
            <v>591</v>
          </cell>
          <cell r="E59">
            <v>41.738616</v>
          </cell>
          <cell r="F59">
            <v>232.65274700000001</v>
          </cell>
        </row>
        <row r="60">
          <cell r="A60">
            <v>2</v>
          </cell>
          <cell r="B60">
            <v>2201</v>
          </cell>
          <cell r="C60">
            <v>5</v>
          </cell>
          <cell r="D60">
            <v>51</v>
          </cell>
          <cell r="E60">
            <v>6.315677</v>
          </cell>
          <cell r="F60">
            <v>18.955815000000001</v>
          </cell>
        </row>
        <row r="61">
          <cell r="A61">
            <v>2</v>
          </cell>
          <cell r="B61">
            <v>2201</v>
          </cell>
          <cell r="C61">
            <v>5</v>
          </cell>
          <cell r="D61">
            <v>52</v>
          </cell>
          <cell r="E61">
            <v>13.845162</v>
          </cell>
          <cell r="F61">
            <v>35.079484999999998</v>
          </cell>
        </row>
        <row r="62">
          <cell r="A62">
            <v>2</v>
          </cell>
          <cell r="B62">
            <v>2201</v>
          </cell>
          <cell r="C62">
            <v>6</v>
          </cell>
          <cell r="D62">
            <v>4</v>
          </cell>
          <cell r="E62">
            <v>0</v>
          </cell>
          <cell r="F62">
            <v>-3.125E-2</v>
          </cell>
        </row>
        <row r="63">
          <cell r="A63">
            <v>2</v>
          </cell>
          <cell r="B63">
            <v>2201</v>
          </cell>
          <cell r="C63">
            <v>6</v>
          </cell>
          <cell r="D63">
            <v>52</v>
          </cell>
          <cell r="E63">
            <v>4.9934989999999999</v>
          </cell>
          <cell r="F63">
            <v>19.59572</v>
          </cell>
        </row>
        <row r="64">
          <cell r="A64">
            <v>2</v>
          </cell>
          <cell r="B64">
            <v>2202</v>
          </cell>
          <cell r="C64">
            <v>1</v>
          </cell>
          <cell r="D64">
            <v>4</v>
          </cell>
          <cell r="E64">
            <v>-27.405909999999999</v>
          </cell>
          <cell r="F64">
            <v>-89.522827000000007</v>
          </cell>
        </row>
        <row r="65">
          <cell r="A65">
            <v>2</v>
          </cell>
          <cell r="B65">
            <v>2202</v>
          </cell>
          <cell r="C65">
            <v>1</v>
          </cell>
          <cell r="D65">
            <v>51</v>
          </cell>
          <cell r="E65">
            <v>21.408525000000001</v>
          </cell>
          <cell r="F65">
            <v>65.370559999999998</v>
          </cell>
        </row>
        <row r="66">
          <cell r="A66">
            <v>2</v>
          </cell>
          <cell r="B66">
            <v>2202</v>
          </cell>
          <cell r="C66">
            <v>1</v>
          </cell>
          <cell r="D66">
            <v>52</v>
          </cell>
          <cell r="E66">
            <v>5.4731519999999998</v>
          </cell>
          <cell r="F66">
            <v>28.799150999999998</v>
          </cell>
        </row>
        <row r="67">
          <cell r="A67">
            <v>2</v>
          </cell>
          <cell r="B67">
            <v>2203</v>
          </cell>
          <cell r="C67">
            <v>1</v>
          </cell>
          <cell r="D67">
            <v>4</v>
          </cell>
          <cell r="E67">
            <v>-24.121953000000001</v>
          </cell>
          <cell r="F67">
            <v>-58.246360000000003</v>
          </cell>
        </row>
        <row r="68">
          <cell r="A68">
            <v>2</v>
          </cell>
          <cell r="B68">
            <v>2203</v>
          </cell>
          <cell r="C68">
            <v>1</v>
          </cell>
          <cell r="D68">
            <v>51</v>
          </cell>
          <cell r="E68">
            <v>49.782249</v>
          </cell>
          <cell r="F68">
            <v>147.55233699999999</v>
          </cell>
        </row>
        <row r="69">
          <cell r="A69">
            <v>2</v>
          </cell>
          <cell r="B69">
            <v>2203</v>
          </cell>
          <cell r="C69">
            <v>1</v>
          </cell>
          <cell r="D69">
            <v>52</v>
          </cell>
          <cell r="E69">
            <v>24.462287000000003</v>
          </cell>
          <cell r="F69">
            <v>69.187190000000001</v>
          </cell>
        </row>
        <row r="70">
          <cell r="A70">
            <v>2</v>
          </cell>
          <cell r="B70">
            <v>2203</v>
          </cell>
          <cell r="C70">
            <v>1</v>
          </cell>
          <cell r="D70">
            <v>591</v>
          </cell>
          <cell r="E70">
            <v>10.797598000000001</v>
          </cell>
          <cell r="F70">
            <v>34.81241</v>
          </cell>
        </row>
        <row r="71">
          <cell r="A71">
            <v>2</v>
          </cell>
          <cell r="B71">
            <v>2209</v>
          </cell>
          <cell r="C71">
            <v>1</v>
          </cell>
          <cell r="D71">
            <v>4</v>
          </cell>
          <cell r="E71">
            <v>-1.380169</v>
          </cell>
          <cell r="F71">
            <v>-5.45695</v>
          </cell>
        </row>
        <row r="72">
          <cell r="A72">
            <v>2</v>
          </cell>
          <cell r="B72">
            <v>2209</v>
          </cell>
          <cell r="C72">
            <v>1</v>
          </cell>
          <cell r="D72">
            <v>51</v>
          </cell>
          <cell r="E72">
            <v>19.995754999999999</v>
          </cell>
          <cell r="F72">
            <v>60.526370999999997</v>
          </cell>
        </row>
        <row r="73">
          <cell r="A73">
            <v>2</v>
          </cell>
          <cell r="B73">
            <v>2209</v>
          </cell>
          <cell r="C73">
            <v>1</v>
          </cell>
          <cell r="D73">
            <v>52</v>
          </cell>
          <cell r="E73">
            <v>4.6237599999999999</v>
          </cell>
          <cell r="F73">
            <v>14.402892999999999</v>
          </cell>
        </row>
        <row r="74">
          <cell r="A74">
            <v>2</v>
          </cell>
          <cell r="B74">
            <v>2209</v>
          </cell>
          <cell r="C74">
            <v>1</v>
          </cell>
          <cell r="D74">
            <v>591</v>
          </cell>
          <cell r="E74">
            <v>0.77090000000000003</v>
          </cell>
          <cell r="F74">
            <v>2.5932469999999999</v>
          </cell>
        </row>
        <row r="75">
          <cell r="A75">
            <v>2</v>
          </cell>
          <cell r="B75">
            <v>2210</v>
          </cell>
          <cell r="C75">
            <v>1</v>
          </cell>
          <cell r="D75">
            <v>4</v>
          </cell>
          <cell r="E75">
            <v>-25.067861000000001</v>
          </cell>
          <cell r="F75">
            <v>-75.220072000000002</v>
          </cell>
        </row>
        <row r="76">
          <cell r="A76">
            <v>2</v>
          </cell>
          <cell r="B76">
            <v>2210</v>
          </cell>
          <cell r="C76">
            <v>1</v>
          </cell>
          <cell r="D76">
            <v>51</v>
          </cell>
          <cell r="E76">
            <v>93.194248999999999</v>
          </cell>
          <cell r="F76">
            <v>278.24581999999998</v>
          </cell>
        </row>
        <row r="77">
          <cell r="A77">
            <v>2</v>
          </cell>
          <cell r="B77">
            <v>2210</v>
          </cell>
          <cell r="C77">
            <v>1</v>
          </cell>
          <cell r="D77">
            <v>52</v>
          </cell>
          <cell r="E77">
            <v>41.361964999999998</v>
          </cell>
          <cell r="F77">
            <v>96.904479999999992</v>
          </cell>
        </row>
        <row r="78">
          <cell r="A78">
            <v>2</v>
          </cell>
          <cell r="B78">
            <v>2210</v>
          </cell>
          <cell r="C78">
            <v>1</v>
          </cell>
          <cell r="D78">
            <v>591</v>
          </cell>
          <cell r="E78">
            <v>3.2712379999999999</v>
          </cell>
          <cell r="F78">
            <v>4.5959380000000003</v>
          </cell>
        </row>
        <row r="79">
          <cell r="A79">
            <v>2</v>
          </cell>
          <cell r="B79">
            <v>2216</v>
          </cell>
          <cell r="C79">
            <v>1</v>
          </cell>
          <cell r="D79">
            <v>4</v>
          </cell>
          <cell r="E79">
            <v>-10.781345</v>
          </cell>
          <cell r="F79">
            <v>-42.426867000000001</v>
          </cell>
        </row>
        <row r="80">
          <cell r="A80">
            <v>2</v>
          </cell>
          <cell r="B80">
            <v>2216</v>
          </cell>
          <cell r="C80">
            <v>1</v>
          </cell>
          <cell r="D80">
            <v>51</v>
          </cell>
          <cell r="E80">
            <v>48.159587000000002</v>
          </cell>
          <cell r="F80">
            <v>145.61725799999999</v>
          </cell>
        </row>
        <row r="81">
          <cell r="A81">
            <v>2</v>
          </cell>
          <cell r="B81">
            <v>2216</v>
          </cell>
          <cell r="C81">
            <v>1</v>
          </cell>
          <cell r="D81">
            <v>52</v>
          </cell>
          <cell r="E81">
            <v>37.602342</v>
          </cell>
          <cell r="F81">
            <v>97.586730000000003</v>
          </cell>
        </row>
        <row r="82">
          <cell r="A82">
            <v>2</v>
          </cell>
          <cell r="B82">
            <v>2216</v>
          </cell>
          <cell r="C82">
            <v>1</v>
          </cell>
          <cell r="D82">
            <v>591</v>
          </cell>
          <cell r="E82">
            <v>0</v>
          </cell>
          <cell r="F82">
            <v>2.1061999999999999</v>
          </cell>
        </row>
        <row r="83">
          <cell r="A83">
            <v>2</v>
          </cell>
          <cell r="B83">
            <v>2217</v>
          </cell>
          <cell r="C83">
            <v>1</v>
          </cell>
          <cell r="D83">
            <v>4</v>
          </cell>
          <cell r="E83">
            <v>-17.231717</v>
          </cell>
          <cell r="F83">
            <v>-56.407259000000003</v>
          </cell>
        </row>
        <row r="84">
          <cell r="A84">
            <v>2</v>
          </cell>
          <cell r="B84">
            <v>2217</v>
          </cell>
          <cell r="C84">
            <v>1</v>
          </cell>
          <cell r="D84">
            <v>51</v>
          </cell>
          <cell r="E84">
            <v>23.242902999999998</v>
          </cell>
          <cell r="F84">
            <v>70.849918000000002</v>
          </cell>
        </row>
        <row r="85">
          <cell r="A85">
            <v>2</v>
          </cell>
          <cell r="B85">
            <v>2217</v>
          </cell>
          <cell r="C85">
            <v>1</v>
          </cell>
          <cell r="D85">
            <v>52</v>
          </cell>
          <cell r="E85">
            <v>14.355229</v>
          </cell>
          <cell r="F85">
            <v>40.186474000000004</v>
          </cell>
        </row>
        <row r="86">
          <cell r="A86">
            <v>2</v>
          </cell>
          <cell r="B86">
            <v>2217</v>
          </cell>
          <cell r="C86">
            <v>1</v>
          </cell>
          <cell r="D86">
            <v>591</v>
          </cell>
          <cell r="E86">
            <v>0.30399999999999999</v>
          </cell>
          <cell r="F86">
            <v>1.493825</v>
          </cell>
        </row>
        <row r="87">
          <cell r="A87">
            <v>2</v>
          </cell>
          <cell r="B87">
            <v>2223</v>
          </cell>
          <cell r="C87">
            <v>1</v>
          </cell>
          <cell r="D87">
            <v>4</v>
          </cell>
          <cell r="E87">
            <v>-2.6385519999999998</v>
          </cell>
          <cell r="F87">
            <v>-4.8414700000000002</v>
          </cell>
        </row>
        <row r="88">
          <cell r="A88">
            <v>2</v>
          </cell>
          <cell r="B88">
            <v>2223</v>
          </cell>
          <cell r="C88">
            <v>1</v>
          </cell>
          <cell r="D88">
            <v>51</v>
          </cell>
          <cell r="E88">
            <v>8.4649490000000007</v>
          </cell>
          <cell r="F88">
            <v>22.396432000000001</v>
          </cell>
        </row>
        <row r="89">
          <cell r="A89">
            <v>2</v>
          </cell>
          <cell r="B89">
            <v>2223</v>
          </cell>
          <cell r="C89">
            <v>1</v>
          </cell>
          <cell r="D89">
            <v>52</v>
          </cell>
          <cell r="E89">
            <v>4.0704079999999996</v>
          </cell>
          <cell r="F89">
            <v>8.2357420000000001</v>
          </cell>
        </row>
        <row r="90">
          <cell r="A90">
            <v>2</v>
          </cell>
          <cell r="B90">
            <v>2225</v>
          </cell>
          <cell r="C90">
            <v>1</v>
          </cell>
          <cell r="D90">
            <v>52</v>
          </cell>
          <cell r="E90">
            <v>27.7</v>
          </cell>
          <cell r="F90">
            <v>83.4</v>
          </cell>
        </row>
        <row r="91">
          <cell r="A91">
            <v>2</v>
          </cell>
          <cell r="B91">
            <v>2227</v>
          </cell>
          <cell r="C91">
            <v>1</v>
          </cell>
          <cell r="D91">
            <v>52</v>
          </cell>
          <cell r="E91">
            <v>173.5</v>
          </cell>
          <cell r="F91">
            <v>527</v>
          </cell>
        </row>
        <row r="92">
          <cell r="A92">
            <v>2</v>
          </cell>
          <cell r="B92">
            <v>2228</v>
          </cell>
          <cell r="C92">
            <v>1</v>
          </cell>
          <cell r="D92">
            <v>52</v>
          </cell>
          <cell r="E92">
            <v>53.3</v>
          </cell>
          <cell r="F92">
            <v>161.6</v>
          </cell>
        </row>
        <row r="93">
          <cell r="A93">
            <v>2</v>
          </cell>
          <cell r="B93">
            <v>2231</v>
          </cell>
          <cell r="C93">
            <v>1</v>
          </cell>
          <cell r="D93">
            <v>4</v>
          </cell>
          <cell r="E93">
            <v>-2.0172300000000001</v>
          </cell>
          <cell r="F93">
            <v>-6.5401680000000004</v>
          </cell>
        </row>
        <row r="94">
          <cell r="A94">
            <v>2</v>
          </cell>
          <cell r="B94">
            <v>2231</v>
          </cell>
          <cell r="C94">
            <v>1</v>
          </cell>
          <cell r="D94">
            <v>51</v>
          </cell>
          <cell r="E94">
            <v>13.877228000000001</v>
          </cell>
          <cell r="F94">
            <v>39.421909999999997</v>
          </cell>
        </row>
        <row r="95">
          <cell r="A95">
            <v>2</v>
          </cell>
          <cell r="B95">
            <v>2231</v>
          </cell>
          <cell r="C95">
            <v>1</v>
          </cell>
          <cell r="D95">
            <v>52</v>
          </cell>
          <cell r="E95">
            <v>9.2078389999999999</v>
          </cell>
          <cell r="F95">
            <v>18.946834000000003</v>
          </cell>
        </row>
        <row r="96">
          <cell r="A96">
            <v>2</v>
          </cell>
          <cell r="B96">
            <v>2231</v>
          </cell>
          <cell r="C96">
            <v>1</v>
          </cell>
          <cell r="D96">
            <v>591</v>
          </cell>
          <cell r="E96">
            <v>1.049491</v>
          </cell>
          <cell r="F96">
            <v>3.31216</v>
          </cell>
        </row>
        <row r="97">
          <cell r="A97">
            <v>2</v>
          </cell>
          <cell r="B97">
            <v>2235</v>
          </cell>
          <cell r="C97">
            <v>6</v>
          </cell>
          <cell r="D97">
            <v>591</v>
          </cell>
          <cell r="E97">
            <v>19.704000000000001</v>
          </cell>
          <cell r="F97">
            <v>59.79</v>
          </cell>
        </row>
        <row r="98">
          <cell r="A98">
            <v>2</v>
          </cell>
          <cell r="B98">
            <v>2236</v>
          </cell>
          <cell r="C98">
            <v>1</v>
          </cell>
          <cell r="D98">
            <v>4</v>
          </cell>
          <cell r="E98">
            <v>0</v>
          </cell>
          <cell r="F98">
            <v>-0.46500000000000002</v>
          </cell>
        </row>
        <row r="99">
          <cell r="A99">
            <v>2</v>
          </cell>
          <cell r="B99">
            <v>2236</v>
          </cell>
          <cell r="C99">
            <v>1</v>
          </cell>
          <cell r="D99">
            <v>52</v>
          </cell>
          <cell r="E99">
            <v>2.9307850000000002</v>
          </cell>
          <cell r="F99">
            <v>10.870308</v>
          </cell>
        </row>
        <row r="100">
          <cell r="A100">
            <v>2</v>
          </cell>
          <cell r="B100">
            <v>2236</v>
          </cell>
          <cell r="C100">
            <v>1</v>
          </cell>
          <cell r="D100">
            <v>591</v>
          </cell>
          <cell r="E100">
            <v>187.952</v>
          </cell>
          <cell r="F100">
            <v>214.271929</v>
          </cell>
        </row>
        <row r="101">
          <cell r="A101">
            <v>2</v>
          </cell>
          <cell r="B101">
            <v>2238</v>
          </cell>
          <cell r="C101">
            <v>6</v>
          </cell>
          <cell r="D101">
            <v>52</v>
          </cell>
          <cell r="E101">
            <v>8.1366999999999995E-2</v>
          </cell>
          <cell r="F101">
            <v>0.16843900000000001</v>
          </cell>
        </row>
        <row r="102">
          <cell r="A102">
            <v>2</v>
          </cell>
          <cell r="B102">
            <v>2238</v>
          </cell>
          <cell r="C102">
            <v>6</v>
          </cell>
          <cell r="D102">
            <v>591</v>
          </cell>
          <cell r="E102">
            <v>6.2679999999999998</v>
          </cell>
          <cell r="F102">
            <v>25.444717000000001</v>
          </cell>
        </row>
        <row r="103">
          <cell r="A103">
            <v>2</v>
          </cell>
          <cell r="B103">
            <v>2239</v>
          </cell>
          <cell r="C103">
            <v>1</v>
          </cell>
          <cell r="D103">
            <v>52</v>
          </cell>
          <cell r="E103">
            <v>0.10934000000000001</v>
          </cell>
          <cell r="F103">
            <v>0.219694</v>
          </cell>
        </row>
        <row r="104">
          <cell r="A104">
            <v>2</v>
          </cell>
          <cell r="B104">
            <v>2239</v>
          </cell>
          <cell r="C104">
            <v>1</v>
          </cell>
          <cell r="D104">
            <v>591</v>
          </cell>
          <cell r="E104">
            <v>8.2550000000000008</v>
          </cell>
          <cell r="F104">
            <v>22.18</v>
          </cell>
        </row>
        <row r="105">
          <cell r="A105">
            <v>2</v>
          </cell>
          <cell r="B105">
            <v>2269</v>
          </cell>
          <cell r="C105">
            <v>6</v>
          </cell>
          <cell r="D105">
            <v>52</v>
          </cell>
          <cell r="E105">
            <v>0</v>
          </cell>
          <cell r="F105">
            <v>1.6992160000000001</v>
          </cell>
        </row>
        <row r="106">
          <cell r="A106">
            <v>2</v>
          </cell>
          <cell r="B106">
            <v>2269</v>
          </cell>
          <cell r="C106">
            <v>6</v>
          </cell>
          <cell r="D106">
            <v>591</v>
          </cell>
          <cell r="E106">
            <v>50</v>
          </cell>
          <cell r="F106">
            <v>56.129232999999999</v>
          </cell>
        </row>
        <row r="107">
          <cell r="A107">
            <v>2</v>
          </cell>
          <cell r="B107">
            <v>2299</v>
          </cell>
          <cell r="C107">
            <v>1</v>
          </cell>
          <cell r="D107">
            <v>4</v>
          </cell>
          <cell r="E107">
            <v>-7.9485200000000003</v>
          </cell>
          <cell r="F107">
            <v>-7.9485200000000003</v>
          </cell>
        </row>
        <row r="108">
          <cell r="A108">
            <v>2</v>
          </cell>
          <cell r="B108">
            <v>2299</v>
          </cell>
          <cell r="C108">
            <v>1</v>
          </cell>
          <cell r="D108">
            <v>51</v>
          </cell>
          <cell r="E108">
            <v>0.15463199999999999</v>
          </cell>
          <cell r="F108">
            <v>2.6941869999999999</v>
          </cell>
        </row>
        <row r="109">
          <cell r="A109">
            <v>2</v>
          </cell>
          <cell r="B109">
            <v>2299</v>
          </cell>
          <cell r="C109">
            <v>1</v>
          </cell>
          <cell r="D109">
            <v>52</v>
          </cell>
          <cell r="E109">
            <v>1.1419760000000001</v>
          </cell>
          <cell r="F109">
            <v>3.523787</v>
          </cell>
        </row>
        <row r="110">
          <cell r="A110">
            <v>2</v>
          </cell>
          <cell r="B110">
            <v>2299</v>
          </cell>
          <cell r="C110">
            <v>1</v>
          </cell>
          <cell r="D110">
            <v>591</v>
          </cell>
          <cell r="E110">
            <v>3.95</v>
          </cell>
          <cell r="F110">
            <v>21.505506</v>
          </cell>
        </row>
        <row r="111">
          <cell r="A111">
            <v>2</v>
          </cell>
          <cell r="B111">
            <v>2301</v>
          </cell>
          <cell r="C111">
            <v>1</v>
          </cell>
          <cell r="D111">
            <v>4</v>
          </cell>
          <cell r="E111">
            <v>-0.23469100000000001</v>
          </cell>
          <cell r="F111">
            <v>-1.197203</v>
          </cell>
        </row>
        <row r="112">
          <cell r="A112">
            <v>2</v>
          </cell>
          <cell r="B112">
            <v>2301</v>
          </cell>
          <cell r="C112">
            <v>1</v>
          </cell>
          <cell r="D112">
            <v>51</v>
          </cell>
          <cell r="E112">
            <v>38.708613</v>
          </cell>
          <cell r="F112">
            <v>113.68082</v>
          </cell>
        </row>
        <row r="113">
          <cell r="A113">
            <v>2</v>
          </cell>
          <cell r="B113">
            <v>2301</v>
          </cell>
          <cell r="C113">
            <v>1</v>
          </cell>
          <cell r="D113">
            <v>52</v>
          </cell>
          <cell r="E113">
            <v>4.7370580000000002</v>
          </cell>
          <cell r="F113">
            <v>17.322944</v>
          </cell>
        </row>
        <row r="114">
          <cell r="A114">
            <v>2</v>
          </cell>
          <cell r="B114">
            <v>2301</v>
          </cell>
          <cell r="C114">
            <v>1</v>
          </cell>
          <cell r="D114">
            <v>591</v>
          </cell>
          <cell r="E114">
            <v>0</v>
          </cell>
          <cell r="F114">
            <v>2E-3</v>
          </cell>
        </row>
        <row r="115">
          <cell r="A115">
            <v>2</v>
          </cell>
          <cell r="B115">
            <v>2302</v>
          </cell>
          <cell r="C115">
            <v>1</v>
          </cell>
          <cell r="D115">
            <v>4</v>
          </cell>
          <cell r="E115">
            <v>-0.61846000000000001</v>
          </cell>
          <cell r="F115">
            <v>-1.847105</v>
          </cell>
        </row>
        <row r="116">
          <cell r="A116">
            <v>2</v>
          </cell>
          <cell r="B116">
            <v>2302</v>
          </cell>
          <cell r="C116">
            <v>1</v>
          </cell>
          <cell r="D116">
            <v>51</v>
          </cell>
          <cell r="E116">
            <v>34.538080000000001</v>
          </cell>
          <cell r="F116">
            <v>105.292136</v>
          </cell>
        </row>
        <row r="117">
          <cell r="A117">
            <v>2</v>
          </cell>
          <cell r="B117">
            <v>2302</v>
          </cell>
          <cell r="C117">
            <v>1</v>
          </cell>
          <cell r="D117">
            <v>52</v>
          </cell>
          <cell r="E117">
            <v>12.209649000000001</v>
          </cell>
          <cell r="F117">
            <v>23.900310000000001</v>
          </cell>
        </row>
        <row r="118">
          <cell r="A118">
            <v>2</v>
          </cell>
          <cell r="B118">
            <v>2302</v>
          </cell>
          <cell r="C118">
            <v>1</v>
          </cell>
          <cell r="D118">
            <v>591</v>
          </cell>
          <cell r="E118">
            <v>0.01</v>
          </cell>
          <cell r="F118">
            <v>1.5900000000000001E-2</v>
          </cell>
        </row>
        <row r="119">
          <cell r="A119">
            <v>2</v>
          </cell>
          <cell r="B119">
            <v>2303</v>
          </cell>
          <cell r="C119">
            <v>1</v>
          </cell>
          <cell r="D119">
            <v>4</v>
          </cell>
          <cell r="E119">
            <v>-0.114249</v>
          </cell>
          <cell r="F119">
            <v>-0.80899500000000002</v>
          </cell>
        </row>
        <row r="120">
          <cell r="A120">
            <v>2</v>
          </cell>
          <cell r="B120">
            <v>2303</v>
          </cell>
          <cell r="C120">
            <v>1</v>
          </cell>
          <cell r="D120">
            <v>51</v>
          </cell>
          <cell r="E120">
            <v>11.754422999999999</v>
          </cell>
          <cell r="F120">
            <v>34.008986</v>
          </cell>
        </row>
        <row r="121">
          <cell r="A121">
            <v>2</v>
          </cell>
          <cell r="B121">
            <v>2303</v>
          </cell>
          <cell r="C121">
            <v>1</v>
          </cell>
          <cell r="D121">
            <v>52</v>
          </cell>
          <cell r="E121">
            <v>4.2367340000000002</v>
          </cell>
          <cell r="F121">
            <v>11.635492000000001</v>
          </cell>
        </row>
        <row r="122">
          <cell r="A122">
            <v>2</v>
          </cell>
          <cell r="B122">
            <v>2304</v>
          </cell>
          <cell r="C122">
            <v>1</v>
          </cell>
          <cell r="D122">
            <v>4</v>
          </cell>
          <cell r="E122">
            <v>-1.4114979999999999</v>
          </cell>
          <cell r="F122">
            <v>-5.5615079999999999</v>
          </cell>
        </row>
        <row r="123">
          <cell r="A123">
            <v>2</v>
          </cell>
          <cell r="B123">
            <v>2304</v>
          </cell>
          <cell r="C123">
            <v>1</v>
          </cell>
          <cell r="D123">
            <v>51</v>
          </cell>
          <cell r="E123">
            <v>55.650776999999998</v>
          </cell>
          <cell r="F123">
            <v>164.26980499999999</v>
          </cell>
        </row>
        <row r="124">
          <cell r="A124">
            <v>2</v>
          </cell>
          <cell r="B124">
            <v>2304</v>
          </cell>
          <cell r="C124">
            <v>1</v>
          </cell>
          <cell r="D124">
            <v>52</v>
          </cell>
          <cell r="E124">
            <v>19.604434999999999</v>
          </cell>
          <cell r="F124">
            <v>58.869151000000002</v>
          </cell>
        </row>
        <row r="125">
          <cell r="A125">
            <v>2</v>
          </cell>
          <cell r="B125">
            <v>2305</v>
          </cell>
          <cell r="C125">
            <v>1</v>
          </cell>
          <cell r="D125">
            <v>4</v>
          </cell>
          <cell r="E125">
            <v>-9.5440000000000005</v>
          </cell>
          <cell r="F125">
            <v>-11.2271</v>
          </cell>
        </row>
        <row r="126">
          <cell r="A126">
            <v>2</v>
          </cell>
          <cell r="B126">
            <v>2305</v>
          </cell>
          <cell r="C126">
            <v>1</v>
          </cell>
          <cell r="D126">
            <v>51</v>
          </cell>
          <cell r="E126">
            <v>31.799493999999999</v>
          </cell>
          <cell r="F126">
            <v>92.639870000000002</v>
          </cell>
        </row>
        <row r="127">
          <cell r="A127">
            <v>2</v>
          </cell>
          <cell r="B127">
            <v>2305</v>
          </cell>
          <cell r="C127">
            <v>1</v>
          </cell>
          <cell r="D127">
            <v>52</v>
          </cell>
          <cell r="E127">
            <v>7.2960120000000002</v>
          </cell>
          <cell r="F127">
            <v>24.483111999999998</v>
          </cell>
        </row>
        <row r="128">
          <cell r="A128">
            <v>2</v>
          </cell>
          <cell r="B128">
            <v>2306</v>
          </cell>
          <cell r="C128">
            <v>1</v>
          </cell>
          <cell r="D128">
            <v>4</v>
          </cell>
          <cell r="E128">
            <v>-0.74115500000000001</v>
          </cell>
          <cell r="F128">
            <v>-5.1696910000000003</v>
          </cell>
        </row>
        <row r="129">
          <cell r="A129">
            <v>2</v>
          </cell>
          <cell r="B129">
            <v>2306</v>
          </cell>
          <cell r="C129">
            <v>1</v>
          </cell>
          <cell r="D129">
            <v>51</v>
          </cell>
          <cell r="E129">
            <v>15.983484000000001</v>
          </cell>
          <cell r="F129">
            <v>47.874467000000003</v>
          </cell>
        </row>
        <row r="130">
          <cell r="A130">
            <v>2</v>
          </cell>
          <cell r="B130">
            <v>2306</v>
          </cell>
          <cell r="C130">
            <v>1</v>
          </cell>
          <cell r="D130">
            <v>52</v>
          </cell>
          <cell r="E130">
            <v>8.3175270000000001</v>
          </cell>
          <cell r="F130">
            <v>25.310039</v>
          </cell>
        </row>
        <row r="131">
          <cell r="A131">
            <v>2</v>
          </cell>
          <cell r="B131">
            <v>2306</v>
          </cell>
          <cell r="C131">
            <v>1</v>
          </cell>
          <cell r="D131">
            <v>591</v>
          </cell>
          <cell r="E131">
            <v>0</v>
          </cell>
          <cell r="F131">
            <v>5.0000000000000001E-3</v>
          </cell>
        </row>
        <row r="132">
          <cell r="A132">
            <v>2</v>
          </cell>
          <cell r="B132">
            <v>2307</v>
          </cell>
          <cell r="C132">
            <v>1</v>
          </cell>
          <cell r="D132">
            <v>4</v>
          </cell>
          <cell r="E132">
            <v>-0.96566300000000005</v>
          </cell>
          <cell r="F132">
            <v>-3.0305089999999999</v>
          </cell>
        </row>
        <row r="133">
          <cell r="A133">
            <v>2</v>
          </cell>
          <cell r="B133">
            <v>2307</v>
          </cell>
          <cell r="C133">
            <v>1</v>
          </cell>
          <cell r="D133">
            <v>51</v>
          </cell>
          <cell r="E133">
            <v>21.202866</v>
          </cell>
          <cell r="F133">
            <v>57.406841999999997</v>
          </cell>
        </row>
        <row r="134">
          <cell r="A134">
            <v>2</v>
          </cell>
          <cell r="B134">
            <v>2307</v>
          </cell>
          <cell r="C134">
            <v>1</v>
          </cell>
          <cell r="D134">
            <v>52</v>
          </cell>
          <cell r="E134">
            <v>5.2145989999999998</v>
          </cell>
          <cell r="F134">
            <v>14.839061999999998</v>
          </cell>
        </row>
        <row r="135">
          <cell r="A135">
            <v>2</v>
          </cell>
          <cell r="B135">
            <v>2307</v>
          </cell>
          <cell r="C135">
            <v>1</v>
          </cell>
          <cell r="D135">
            <v>591</v>
          </cell>
          <cell r="E135">
            <v>5.0000000000000001E-3</v>
          </cell>
          <cell r="F135">
            <v>6.4999999999999997E-3</v>
          </cell>
        </row>
        <row r="136">
          <cell r="A136">
            <v>2</v>
          </cell>
          <cell r="B136">
            <v>2308</v>
          </cell>
          <cell r="C136">
            <v>1</v>
          </cell>
          <cell r="D136">
            <v>4</v>
          </cell>
          <cell r="E136">
            <v>0</v>
          </cell>
          <cell r="F136">
            <v>-25.544309999999999</v>
          </cell>
        </row>
        <row r="137">
          <cell r="A137">
            <v>2</v>
          </cell>
          <cell r="B137">
            <v>2308</v>
          </cell>
          <cell r="C137">
            <v>1</v>
          </cell>
          <cell r="D137">
            <v>51</v>
          </cell>
          <cell r="E137">
            <v>52.913848999999999</v>
          </cell>
          <cell r="F137">
            <v>151.83494999999999</v>
          </cell>
        </row>
        <row r="138">
          <cell r="A138">
            <v>2</v>
          </cell>
          <cell r="B138">
            <v>2308</v>
          </cell>
          <cell r="C138">
            <v>1</v>
          </cell>
          <cell r="D138">
            <v>52</v>
          </cell>
          <cell r="E138">
            <v>15.293944</v>
          </cell>
          <cell r="F138">
            <v>49.542440999999997</v>
          </cell>
        </row>
        <row r="139">
          <cell r="A139">
            <v>2</v>
          </cell>
          <cell r="B139">
            <v>2309</v>
          </cell>
          <cell r="C139">
            <v>1</v>
          </cell>
          <cell r="D139">
            <v>4</v>
          </cell>
          <cell r="E139">
            <v>-1.6719550000000001</v>
          </cell>
          <cell r="F139">
            <v>-12.766095</v>
          </cell>
        </row>
        <row r="140">
          <cell r="A140">
            <v>2</v>
          </cell>
          <cell r="B140">
            <v>2309</v>
          </cell>
          <cell r="C140">
            <v>1</v>
          </cell>
          <cell r="D140">
            <v>51</v>
          </cell>
          <cell r="E140">
            <v>27.101046</v>
          </cell>
          <cell r="F140">
            <v>80.465007</v>
          </cell>
        </row>
        <row r="141">
          <cell r="A141">
            <v>2</v>
          </cell>
          <cell r="B141">
            <v>2309</v>
          </cell>
          <cell r="C141">
            <v>1</v>
          </cell>
          <cell r="D141">
            <v>52</v>
          </cell>
          <cell r="E141">
            <v>9.4257829999999991</v>
          </cell>
          <cell r="F141">
            <v>23.992141999999998</v>
          </cell>
        </row>
        <row r="142">
          <cell r="A142">
            <v>2</v>
          </cell>
          <cell r="B142">
            <v>2309</v>
          </cell>
          <cell r="C142">
            <v>1</v>
          </cell>
          <cell r="D142">
            <v>591</v>
          </cell>
          <cell r="E142">
            <v>0.04</v>
          </cell>
          <cell r="F142">
            <v>0.04</v>
          </cell>
        </row>
        <row r="143">
          <cell r="A143">
            <v>2</v>
          </cell>
          <cell r="B143">
            <v>2316</v>
          </cell>
          <cell r="C143">
            <v>1</v>
          </cell>
          <cell r="D143">
            <v>4</v>
          </cell>
          <cell r="E143">
            <v>-0.39697700000000002</v>
          </cell>
          <cell r="F143">
            <v>-2.0317940000000001</v>
          </cell>
        </row>
        <row r="144">
          <cell r="A144">
            <v>2</v>
          </cell>
          <cell r="B144">
            <v>2316</v>
          </cell>
          <cell r="C144">
            <v>1</v>
          </cell>
          <cell r="D144">
            <v>51</v>
          </cell>
          <cell r="E144">
            <v>0.44817400000000002</v>
          </cell>
          <cell r="F144">
            <v>1.344522</v>
          </cell>
        </row>
        <row r="145">
          <cell r="A145">
            <v>2</v>
          </cell>
          <cell r="B145">
            <v>2316</v>
          </cell>
          <cell r="C145">
            <v>1</v>
          </cell>
          <cell r="D145">
            <v>52</v>
          </cell>
          <cell r="E145">
            <v>0.54946799999999996</v>
          </cell>
          <cell r="F145">
            <v>2.570729</v>
          </cell>
        </row>
        <row r="146">
          <cell r="A146">
            <v>2</v>
          </cell>
          <cell r="B146">
            <v>2316</v>
          </cell>
          <cell r="C146">
            <v>1</v>
          </cell>
          <cell r="D146">
            <v>591</v>
          </cell>
          <cell r="E146">
            <v>4</v>
          </cell>
          <cell r="F146">
            <v>4</v>
          </cell>
        </row>
        <row r="147">
          <cell r="A147">
            <v>2</v>
          </cell>
          <cell r="B147">
            <v>2316</v>
          </cell>
          <cell r="C147">
            <v>5</v>
          </cell>
          <cell r="D147">
            <v>4</v>
          </cell>
          <cell r="E147">
            <v>-3.155052</v>
          </cell>
          <cell r="F147">
            <v>-10.419423</v>
          </cell>
        </row>
        <row r="148">
          <cell r="A148">
            <v>2</v>
          </cell>
          <cell r="B148">
            <v>2316</v>
          </cell>
          <cell r="C148">
            <v>5</v>
          </cell>
          <cell r="D148">
            <v>52</v>
          </cell>
          <cell r="E148">
            <v>20.279610999999999</v>
          </cell>
          <cell r="F148">
            <v>55.186954999999998</v>
          </cell>
        </row>
        <row r="149">
          <cell r="A149">
            <v>2</v>
          </cell>
          <cell r="B149">
            <v>2318</v>
          </cell>
          <cell r="C149">
            <v>6</v>
          </cell>
          <cell r="D149">
            <v>51</v>
          </cell>
          <cell r="E149">
            <v>0</v>
          </cell>
          <cell r="F149">
            <v>2.7460000000000002E-3</v>
          </cell>
        </row>
        <row r="150">
          <cell r="A150">
            <v>2</v>
          </cell>
          <cell r="B150">
            <v>2318</v>
          </cell>
          <cell r="C150">
            <v>6</v>
          </cell>
          <cell r="D150">
            <v>52</v>
          </cell>
          <cell r="E150">
            <v>0.359931</v>
          </cell>
          <cell r="F150">
            <v>3.699567</v>
          </cell>
        </row>
        <row r="151">
          <cell r="A151">
            <v>2</v>
          </cell>
          <cell r="B151">
            <v>2318</v>
          </cell>
          <cell r="C151">
            <v>6</v>
          </cell>
          <cell r="D151">
            <v>591</v>
          </cell>
          <cell r="E151">
            <v>20</v>
          </cell>
          <cell r="F151">
            <v>31.560096999999999</v>
          </cell>
        </row>
        <row r="152">
          <cell r="A152">
            <v>2</v>
          </cell>
          <cell r="B152">
            <v>2319</v>
          </cell>
          <cell r="C152">
            <v>1</v>
          </cell>
          <cell r="D152">
            <v>4</v>
          </cell>
          <cell r="E152">
            <v>-4.5765000000000002</v>
          </cell>
          <cell r="F152">
            <v>-4.5765000000000002</v>
          </cell>
        </row>
        <row r="153">
          <cell r="A153">
            <v>2</v>
          </cell>
          <cell r="B153">
            <v>2319</v>
          </cell>
          <cell r="C153">
            <v>1</v>
          </cell>
          <cell r="D153">
            <v>51</v>
          </cell>
          <cell r="E153">
            <v>2.8421919999999998</v>
          </cell>
          <cell r="F153">
            <v>9.9350950000000005</v>
          </cell>
        </row>
        <row r="154">
          <cell r="A154">
            <v>2</v>
          </cell>
          <cell r="B154">
            <v>2319</v>
          </cell>
          <cell r="C154">
            <v>1</v>
          </cell>
          <cell r="D154">
            <v>52</v>
          </cell>
          <cell r="E154">
            <v>14.280767000000001</v>
          </cell>
          <cell r="F154">
            <v>27.083622999999999</v>
          </cell>
        </row>
        <row r="155">
          <cell r="A155">
            <v>2</v>
          </cell>
          <cell r="B155">
            <v>2319</v>
          </cell>
          <cell r="C155">
            <v>1</v>
          </cell>
          <cell r="D155">
            <v>591</v>
          </cell>
          <cell r="E155">
            <v>60.466425999999998</v>
          </cell>
          <cell r="F155">
            <v>120.720522</v>
          </cell>
        </row>
        <row r="156">
          <cell r="A156">
            <v>2</v>
          </cell>
          <cell r="B156">
            <v>2350</v>
          </cell>
          <cell r="C156">
            <v>1</v>
          </cell>
          <cell r="D156">
            <v>4</v>
          </cell>
          <cell r="E156">
            <v>-0.64434999999999998</v>
          </cell>
          <cell r="F156">
            <v>-14.919340999999999</v>
          </cell>
        </row>
        <row r="157">
          <cell r="A157">
            <v>2</v>
          </cell>
          <cell r="B157">
            <v>2350</v>
          </cell>
          <cell r="C157">
            <v>1</v>
          </cell>
          <cell r="D157">
            <v>51</v>
          </cell>
          <cell r="E157">
            <v>68.359531000000004</v>
          </cell>
          <cell r="F157">
            <v>202.97445300000001</v>
          </cell>
        </row>
        <row r="158">
          <cell r="A158">
            <v>2</v>
          </cell>
          <cell r="B158">
            <v>2350</v>
          </cell>
          <cell r="C158">
            <v>1</v>
          </cell>
          <cell r="D158">
            <v>52</v>
          </cell>
          <cell r="E158">
            <v>9.6277740000000005</v>
          </cell>
          <cell r="F158">
            <v>43.127026000000001</v>
          </cell>
        </row>
        <row r="159">
          <cell r="A159">
            <v>2</v>
          </cell>
          <cell r="B159">
            <v>2350</v>
          </cell>
          <cell r="C159">
            <v>1</v>
          </cell>
          <cell r="D159">
            <v>591</v>
          </cell>
          <cell r="E159">
            <v>1.6E-2</v>
          </cell>
          <cell r="F159">
            <v>1.6E-2</v>
          </cell>
        </row>
        <row r="160">
          <cell r="A160">
            <v>2</v>
          </cell>
          <cell r="B160">
            <v>2351</v>
          </cell>
          <cell r="C160">
            <v>1</v>
          </cell>
          <cell r="D160">
            <v>4</v>
          </cell>
          <cell r="E160">
            <v>-1.2663819999999999</v>
          </cell>
          <cell r="F160">
            <v>-7.733212</v>
          </cell>
        </row>
        <row r="161">
          <cell r="A161">
            <v>2</v>
          </cell>
          <cell r="B161">
            <v>2351</v>
          </cell>
          <cell r="C161">
            <v>1</v>
          </cell>
          <cell r="D161">
            <v>51</v>
          </cell>
          <cell r="E161">
            <v>64.540629999999993</v>
          </cell>
          <cell r="F161">
            <v>193.31801400000001</v>
          </cell>
        </row>
        <row r="162">
          <cell r="A162">
            <v>2</v>
          </cell>
          <cell r="B162">
            <v>2351</v>
          </cell>
          <cell r="C162">
            <v>1</v>
          </cell>
          <cell r="D162">
            <v>52</v>
          </cell>
          <cell r="E162">
            <v>11.500851999999998</v>
          </cell>
          <cell r="F162">
            <v>27.760987</v>
          </cell>
        </row>
        <row r="163">
          <cell r="A163">
            <v>2</v>
          </cell>
          <cell r="B163">
            <v>2351</v>
          </cell>
          <cell r="C163">
            <v>1</v>
          </cell>
          <cell r="D163">
            <v>591</v>
          </cell>
          <cell r="E163">
            <v>3.1261909999999999</v>
          </cell>
          <cell r="F163">
            <v>3.8741829999999999</v>
          </cell>
        </row>
        <row r="164">
          <cell r="A164">
            <v>2</v>
          </cell>
          <cell r="B164">
            <v>2352</v>
          </cell>
          <cell r="C164">
            <v>1</v>
          </cell>
          <cell r="D164">
            <v>4</v>
          </cell>
          <cell r="E164">
            <v>-4.2224680000000001</v>
          </cell>
          <cell r="F164">
            <v>-12.719707</v>
          </cell>
        </row>
        <row r="165">
          <cell r="A165">
            <v>2</v>
          </cell>
          <cell r="B165">
            <v>2352</v>
          </cell>
          <cell r="C165">
            <v>1</v>
          </cell>
          <cell r="D165">
            <v>51</v>
          </cell>
          <cell r="E165">
            <v>41.046484</v>
          </cell>
          <cell r="F165">
            <v>122.253046</v>
          </cell>
        </row>
        <row r="166">
          <cell r="A166">
            <v>2</v>
          </cell>
          <cell r="B166">
            <v>2352</v>
          </cell>
          <cell r="C166">
            <v>1</v>
          </cell>
          <cell r="D166">
            <v>52</v>
          </cell>
          <cell r="E166">
            <v>12.363747999999999</v>
          </cell>
          <cell r="F166">
            <v>34.896425999999998</v>
          </cell>
        </row>
        <row r="167">
          <cell r="A167">
            <v>2</v>
          </cell>
          <cell r="B167">
            <v>2352</v>
          </cell>
          <cell r="C167">
            <v>1</v>
          </cell>
          <cell r="D167">
            <v>591</v>
          </cell>
          <cell r="E167">
            <v>6.0000000000000001E-3</v>
          </cell>
          <cell r="F167">
            <v>7.4999999999999997E-3</v>
          </cell>
        </row>
        <row r="168">
          <cell r="A168">
            <v>2</v>
          </cell>
          <cell r="B168">
            <v>2353</v>
          </cell>
          <cell r="C168">
            <v>1</v>
          </cell>
          <cell r="D168">
            <v>4</v>
          </cell>
          <cell r="E168">
            <v>-0.1045</v>
          </cell>
          <cell r="F168">
            <v>-6.8192199999999996</v>
          </cell>
        </row>
        <row r="169">
          <cell r="A169">
            <v>2</v>
          </cell>
          <cell r="B169">
            <v>2353</v>
          </cell>
          <cell r="C169">
            <v>1</v>
          </cell>
          <cell r="D169">
            <v>51</v>
          </cell>
          <cell r="E169">
            <v>47.754792000000002</v>
          </cell>
          <cell r="F169">
            <v>138.29172500000001</v>
          </cell>
        </row>
        <row r="170">
          <cell r="A170">
            <v>2</v>
          </cell>
          <cell r="B170">
            <v>2353</v>
          </cell>
          <cell r="C170">
            <v>1</v>
          </cell>
          <cell r="D170">
            <v>52</v>
          </cell>
          <cell r="E170">
            <v>14.292992</v>
          </cell>
          <cell r="F170">
            <v>44.651710999999999</v>
          </cell>
        </row>
        <row r="171">
          <cell r="A171">
            <v>2</v>
          </cell>
          <cell r="B171">
            <v>2353</v>
          </cell>
          <cell r="C171">
            <v>1</v>
          </cell>
          <cell r="D171">
            <v>591</v>
          </cell>
          <cell r="E171">
            <v>7.8174999999999994E-2</v>
          </cell>
          <cell r="F171">
            <v>0.23449600000000001</v>
          </cell>
        </row>
        <row r="172">
          <cell r="A172">
            <v>2</v>
          </cell>
          <cell r="B172">
            <v>2354</v>
          </cell>
          <cell r="C172">
            <v>1</v>
          </cell>
          <cell r="D172">
            <v>4</v>
          </cell>
          <cell r="E172">
            <v>-7.5228659999999996</v>
          </cell>
          <cell r="F172">
            <v>-15.202316</v>
          </cell>
        </row>
        <row r="173">
          <cell r="A173">
            <v>2</v>
          </cell>
          <cell r="B173">
            <v>2354</v>
          </cell>
          <cell r="C173">
            <v>1</v>
          </cell>
          <cell r="D173">
            <v>51</v>
          </cell>
          <cell r="E173">
            <v>34.849950999999997</v>
          </cell>
          <cell r="F173">
            <v>102.443099</v>
          </cell>
        </row>
        <row r="174">
          <cell r="A174">
            <v>2</v>
          </cell>
          <cell r="B174">
            <v>2354</v>
          </cell>
          <cell r="C174">
            <v>1</v>
          </cell>
          <cell r="D174">
            <v>52</v>
          </cell>
          <cell r="E174">
            <v>11.18371</v>
          </cell>
          <cell r="F174">
            <v>38.607585</v>
          </cell>
        </row>
        <row r="175">
          <cell r="A175">
            <v>2</v>
          </cell>
          <cell r="B175">
            <v>2355</v>
          </cell>
          <cell r="C175">
            <v>1</v>
          </cell>
          <cell r="D175">
            <v>4</v>
          </cell>
          <cell r="E175">
            <v>-1.0200000000000001E-2</v>
          </cell>
          <cell r="F175">
            <v>-1.0930120000000001</v>
          </cell>
        </row>
        <row r="176">
          <cell r="A176">
            <v>2</v>
          </cell>
          <cell r="B176">
            <v>2355</v>
          </cell>
          <cell r="C176">
            <v>1</v>
          </cell>
          <cell r="D176">
            <v>51</v>
          </cell>
          <cell r="E176">
            <v>13.864858</v>
          </cell>
          <cell r="F176">
            <v>41.589840000000002</v>
          </cell>
        </row>
        <row r="177">
          <cell r="A177">
            <v>2</v>
          </cell>
          <cell r="B177">
            <v>2355</v>
          </cell>
          <cell r="C177">
            <v>1</v>
          </cell>
          <cell r="D177">
            <v>52</v>
          </cell>
          <cell r="E177">
            <v>3.9558409999999999</v>
          </cell>
          <cell r="F177">
            <v>9.741301</v>
          </cell>
        </row>
        <row r="178">
          <cell r="A178">
            <v>2</v>
          </cell>
          <cell r="B178">
            <v>2355</v>
          </cell>
          <cell r="C178">
            <v>1</v>
          </cell>
          <cell r="D178">
            <v>591</v>
          </cell>
          <cell r="E178">
            <v>5.0000000000000001E-3</v>
          </cell>
          <cell r="F178">
            <v>7.4999999999999997E-3</v>
          </cell>
        </row>
        <row r="179">
          <cell r="A179">
            <v>2</v>
          </cell>
          <cell r="B179">
            <v>2356</v>
          </cell>
          <cell r="C179">
            <v>1</v>
          </cell>
          <cell r="D179">
            <v>4</v>
          </cell>
          <cell r="E179">
            <v>0</v>
          </cell>
          <cell r="F179">
            <v>-1.9092750000000001</v>
          </cell>
        </row>
        <row r="180">
          <cell r="A180">
            <v>2</v>
          </cell>
          <cell r="B180">
            <v>2356</v>
          </cell>
          <cell r="C180">
            <v>1</v>
          </cell>
          <cell r="D180">
            <v>51</v>
          </cell>
          <cell r="E180">
            <v>20.985876999999999</v>
          </cell>
          <cell r="F180">
            <v>62.606853000000001</v>
          </cell>
        </row>
        <row r="181">
          <cell r="A181">
            <v>2</v>
          </cell>
          <cell r="B181">
            <v>2356</v>
          </cell>
          <cell r="C181">
            <v>1</v>
          </cell>
          <cell r="D181">
            <v>52</v>
          </cell>
          <cell r="E181">
            <v>5.7691299999999996</v>
          </cell>
          <cell r="F181">
            <v>20.147176999999999</v>
          </cell>
        </row>
        <row r="182">
          <cell r="A182">
            <v>2</v>
          </cell>
          <cell r="B182">
            <v>2357</v>
          </cell>
          <cell r="C182">
            <v>1</v>
          </cell>
          <cell r="D182">
            <v>4</v>
          </cell>
          <cell r="E182">
            <v>-3.1085120000000002</v>
          </cell>
          <cell r="F182">
            <v>-13.049087</v>
          </cell>
        </row>
        <row r="183">
          <cell r="A183">
            <v>2</v>
          </cell>
          <cell r="B183">
            <v>2357</v>
          </cell>
          <cell r="C183">
            <v>1</v>
          </cell>
          <cell r="D183">
            <v>51</v>
          </cell>
          <cell r="E183">
            <v>52.264209000000001</v>
          </cell>
          <cell r="F183">
            <v>154.582686</v>
          </cell>
        </row>
        <row r="184">
          <cell r="A184">
            <v>2</v>
          </cell>
          <cell r="B184">
            <v>2357</v>
          </cell>
          <cell r="C184">
            <v>1</v>
          </cell>
          <cell r="D184">
            <v>52</v>
          </cell>
          <cell r="E184">
            <v>19.246665</v>
          </cell>
          <cell r="F184">
            <v>47.734974999999999</v>
          </cell>
        </row>
        <row r="185">
          <cell r="A185">
            <v>2</v>
          </cell>
          <cell r="B185">
            <v>2357</v>
          </cell>
          <cell r="C185">
            <v>1</v>
          </cell>
          <cell r="D185">
            <v>591</v>
          </cell>
          <cell r="E185">
            <v>3.8999999999999998E-3</v>
          </cell>
          <cell r="F185">
            <v>3.8999999999999998E-3</v>
          </cell>
        </row>
        <row r="186">
          <cell r="A186">
            <v>2</v>
          </cell>
          <cell r="B186">
            <v>2358</v>
          </cell>
          <cell r="C186">
            <v>1</v>
          </cell>
          <cell r="D186">
            <v>4</v>
          </cell>
          <cell r="E186">
            <v>-1.2744709999999999</v>
          </cell>
          <cell r="F186">
            <v>-3.4098519999999999</v>
          </cell>
        </row>
        <row r="187">
          <cell r="A187">
            <v>2</v>
          </cell>
          <cell r="B187">
            <v>2358</v>
          </cell>
          <cell r="C187">
            <v>1</v>
          </cell>
          <cell r="D187">
            <v>51</v>
          </cell>
          <cell r="E187">
            <v>13.995849</v>
          </cell>
          <cell r="F187">
            <v>42.957335999999998</v>
          </cell>
        </row>
        <row r="188">
          <cell r="A188">
            <v>2</v>
          </cell>
          <cell r="B188">
            <v>2358</v>
          </cell>
          <cell r="C188">
            <v>1</v>
          </cell>
          <cell r="D188">
            <v>52</v>
          </cell>
          <cell r="E188">
            <v>4.0684420000000001</v>
          </cell>
          <cell r="F188">
            <v>12.298223999999999</v>
          </cell>
        </row>
        <row r="189">
          <cell r="A189">
            <v>2</v>
          </cell>
          <cell r="B189">
            <v>2358</v>
          </cell>
          <cell r="C189">
            <v>1</v>
          </cell>
          <cell r="D189">
            <v>591</v>
          </cell>
          <cell r="E189">
            <v>0.2</v>
          </cell>
          <cell r="F189">
            <v>1.5000739999999999</v>
          </cell>
        </row>
        <row r="190">
          <cell r="A190">
            <v>2</v>
          </cell>
          <cell r="B190">
            <v>2359</v>
          </cell>
          <cell r="C190">
            <v>1</v>
          </cell>
          <cell r="D190">
            <v>51</v>
          </cell>
          <cell r="E190">
            <v>81.364223999999993</v>
          </cell>
          <cell r="F190">
            <v>241.31700900000001</v>
          </cell>
        </row>
        <row r="191">
          <cell r="A191">
            <v>2</v>
          </cell>
          <cell r="B191">
            <v>2359</v>
          </cell>
          <cell r="C191">
            <v>1</v>
          </cell>
          <cell r="D191">
            <v>52</v>
          </cell>
          <cell r="E191">
            <v>14.714791999999999</v>
          </cell>
          <cell r="F191">
            <v>46.516070000000006</v>
          </cell>
        </row>
        <row r="192">
          <cell r="A192">
            <v>2</v>
          </cell>
          <cell r="B192">
            <v>2359</v>
          </cell>
          <cell r="C192">
            <v>1</v>
          </cell>
          <cell r="D192">
            <v>591</v>
          </cell>
          <cell r="E192">
            <v>0</v>
          </cell>
          <cell r="F192">
            <v>3.3840620000000001</v>
          </cell>
        </row>
        <row r="193">
          <cell r="A193">
            <v>2</v>
          </cell>
          <cell r="B193">
            <v>2360</v>
          </cell>
          <cell r="C193">
            <v>1</v>
          </cell>
          <cell r="D193">
            <v>4</v>
          </cell>
          <cell r="E193">
            <v>-0.70645100000000005</v>
          </cell>
          <cell r="F193">
            <v>-6.4874499999999999</v>
          </cell>
        </row>
        <row r="194">
          <cell r="A194">
            <v>2</v>
          </cell>
          <cell r="B194">
            <v>2360</v>
          </cell>
          <cell r="C194">
            <v>1</v>
          </cell>
          <cell r="D194">
            <v>51</v>
          </cell>
          <cell r="E194">
            <v>34.669640999999999</v>
          </cell>
          <cell r="F194">
            <v>111.54390600000001</v>
          </cell>
        </row>
        <row r="195">
          <cell r="A195">
            <v>2</v>
          </cell>
          <cell r="B195">
            <v>2360</v>
          </cell>
          <cell r="C195">
            <v>1</v>
          </cell>
          <cell r="D195">
            <v>52</v>
          </cell>
          <cell r="E195">
            <v>8.1543019999999995</v>
          </cell>
          <cell r="F195">
            <v>23.001923999999999</v>
          </cell>
        </row>
        <row r="196">
          <cell r="A196">
            <v>2</v>
          </cell>
          <cell r="B196">
            <v>2360</v>
          </cell>
          <cell r="C196">
            <v>1</v>
          </cell>
          <cell r="D196">
            <v>591</v>
          </cell>
          <cell r="E196">
            <v>0.183616</v>
          </cell>
          <cell r="F196">
            <v>0.38361600000000001</v>
          </cell>
        </row>
        <row r="197">
          <cell r="A197">
            <v>2</v>
          </cell>
          <cell r="B197">
            <v>2361</v>
          </cell>
          <cell r="C197">
            <v>1</v>
          </cell>
          <cell r="D197">
            <v>4</v>
          </cell>
          <cell r="E197">
            <v>-2.023174</v>
          </cell>
          <cell r="F197">
            <v>-4.0191990000000004</v>
          </cell>
        </row>
        <row r="198">
          <cell r="A198">
            <v>2</v>
          </cell>
          <cell r="B198">
            <v>2361</v>
          </cell>
          <cell r="C198">
            <v>1</v>
          </cell>
          <cell r="D198">
            <v>51</v>
          </cell>
          <cell r="E198">
            <v>8.8169350000000009</v>
          </cell>
          <cell r="F198">
            <v>27.411666</v>
          </cell>
        </row>
        <row r="199">
          <cell r="A199">
            <v>2</v>
          </cell>
          <cell r="B199">
            <v>2361</v>
          </cell>
          <cell r="C199">
            <v>1</v>
          </cell>
          <cell r="D199">
            <v>52</v>
          </cell>
          <cell r="E199">
            <v>4.228866</v>
          </cell>
          <cell r="F199">
            <v>10.820191999999999</v>
          </cell>
        </row>
        <row r="200">
          <cell r="A200">
            <v>2</v>
          </cell>
          <cell r="B200">
            <v>2361</v>
          </cell>
          <cell r="C200">
            <v>1</v>
          </cell>
          <cell r="D200">
            <v>591</v>
          </cell>
          <cell r="E200">
            <v>0.215</v>
          </cell>
          <cell r="F200">
            <v>0.26700000000000002</v>
          </cell>
        </row>
        <row r="201">
          <cell r="A201">
            <v>2</v>
          </cell>
          <cell r="B201">
            <v>2362</v>
          </cell>
          <cell r="C201">
            <v>1</v>
          </cell>
          <cell r="D201">
            <v>4</v>
          </cell>
          <cell r="E201">
            <v>-0.175016</v>
          </cell>
          <cell r="F201">
            <v>-0.50909899999999997</v>
          </cell>
        </row>
        <row r="202">
          <cell r="A202">
            <v>2</v>
          </cell>
          <cell r="B202">
            <v>2362</v>
          </cell>
          <cell r="C202">
            <v>1</v>
          </cell>
          <cell r="D202">
            <v>51</v>
          </cell>
          <cell r="E202">
            <v>9.3676999999999992</v>
          </cell>
          <cell r="F202">
            <v>27.943878999999999</v>
          </cell>
        </row>
        <row r="203">
          <cell r="A203">
            <v>2</v>
          </cell>
          <cell r="B203">
            <v>2362</v>
          </cell>
          <cell r="C203">
            <v>1</v>
          </cell>
          <cell r="D203">
            <v>52</v>
          </cell>
          <cell r="E203">
            <v>2.2523089999999999</v>
          </cell>
          <cell r="F203">
            <v>6.4153409999999997</v>
          </cell>
        </row>
        <row r="204">
          <cell r="A204">
            <v>2</v>
          </cell>
          <cell r="B204">
            <v>2363</v>
          </cell>
          <cell r="C204">
            <v>1</v>
          </cell>
          <cell r="D204">
            <v>4</v>
          </cell>
          <cell r="E204">
            <v>-1.422963</v>
          </cell>
          <cell r="F204">
            <v>-5.0237340000000001</v>
          </cell>
        </row>
        <row r="205">
          <cell r="A205">
            <v>2</v>
          </cell>
          <cell r="B205">
            <v>2363</v>
          </cell>
          <cell r="C205">
            <v>1</v>
          </cell>
          <cell r="D205">
            <v>51</v>
          </cell>
          <cell r="E205">
            <v>9.0783159999999992</v>
          </cell>
          <cell r="F205">
            <v>28.508454</v>
          </cell>
        </row>
        <row r="206">
          <cell r="A206">
            <v>2</v>
          </cell>
          <cell r="B206">
            <v>2363</v>
          </cell>
          <cell r="C206">
            <v>1</v>
          </cell>
          <cell r="D206">
            <v>52</v>
          </cell>
          <cell r="E206">
            <v>5.6468680000000004</v>
          </cell>
          <cell r="F206">
            <v>13.169169999999999</v>
          </cell>
        </row>
        <row r="207">
          <cell r="A207">
            <v>2</v>
          </cell>
          <cell r="B207">
            <v>2363</v>
          </cell>
          <cell r="C207">
            <v>1</v>
          </cell>
          <cell r="D207">
            <v>591</v>
          </cell>
          <cell r="E207">
            <v>2E-3</v>
          </cell>
          <cell r="F207">
            <v>2E-3</v>
          </cell>
        </row>
        <row r="208">
          <cell r="A208">
            <v>2</v>
          </cell>
          <cell r="B208">
            <v>2365</v>
          </cell>
          <cell r="C208">
            <v>1</v>
          </cell>
          <cell r="D208">
            <v>4</v>
          </cell>
          <cell r="E208">
            <v>-3.2265649999999999</v>
          </cell>
          <cell r="F208">
            <v>-19.683209999999999</v>
          </cell>
        </row>
        <row r="209">
          <cell r="A209">
            <v>2</v>
          </cell>
          <cell r="B209">
            <v>2365</v>
          </cell>
          <cell r="C209">
            <v>1</v>
          </cell>
          <cell r="D209">
            <v>51</v>
          </cell>
          <cell r="E209">
            <v>66.490943000000001</v>
          </cell>
          <cell r="F209">
            <v>199.426017</v>
          </cell>
        </row>
        <row r="210">
          <cell r="A210">
            <v>2</v>
          </cell>
          <cell r="B210">
            <v>2365</v>
          </cell>
          <cell r="C210">
            <v>1</v>
          </cell>
          <cell r="D210">
            <v>52</v>
          </cell>
          <cell r="E210">
            <v>13.743464999999999</v>
          </cell>
          <cell r="F210">
            <v>50.411876999999997</v>
          </cell>
        </row>
        <row r="211">
          <cell r="A211">
            <v>2</v>
          </cell>
          <cell r="B211">
            <v>2365</v>
          </cell>
          <cell r="C211">
            <v>1</v>
          </cell>
          <cell r="D211">
            <v>591</v>
          </cell>
          <cell r="E211">
            <v>0.3</v>
          </cell>
          <cell r="F211">
            <v>0.64739999999999998</v>
          </cell>
        </row>
        <row r="212">
          <cell r="A212">
            <v>2</v>
          </cell>
          <cell r="B212">
            <v>2367</v>
          </cell>
          <cell r="C212">
            <v>1</v>
          </cell>
          <cell r="D212">
            <v>4</v>
          </cell>
          <cell r="E212">
            <v>-1.8339970000000001</v>
          </cell>
          <cell r="F212">
            <v>-4.3134420000000002</v>
          </cell>
        </row>
        <row r="213">
          <cell r="A213">
            <v>2</v>
          </cell>
          <cell r="B213">
            <v>2367</v>
          </cell>
          <cell r="C213">
            <v>1</v>
          </cell>
          <cell r="D213">
            <v>51</v>
          </cell>
          <cell r="E213">
            <v>14.851646000000001</v>
          </cell>
          <cell r="F213">
            <v>44.641897</v>
          </cell>
        </row>
        <row r="214">
          <cell r="A214">
            <v>2</v>
          </cell>
          <cell r="B214">
            <v>2367</v>
          </cell>
          <cell r="C214">
            <v>1</v>
          </cell>
          <cell r="D214">
            <v>52</v>
          </cell>
          <cell r="E214">
            <v>4.1143859999999997</v>
          </cell>
          <cell r="F214">
            <v>14.000157</v>
          </cell>
        </row>
        <row r="215">
          <cell r="A215">
            <v>2</v>
          </cell>
          <cell r="B215">
            <v>2367</v>
          </cell>
          <cell r="C215">
            <v>1</v>
          </cell>
          <cell r="D215">
            <v>591</v>
          </cell>
          <cell r="E215">
            <v>5.0000000000000001E-3</v>
          </cell>
          <cell r="F215">
            <v>5.0000000000000001E-3</v>
          </cell>
        </row>
        <row r="216">
          <cell r="A216">
            <v>2</v>
          </cell>
          <cell r="B216">
            <v>2368</v>
          </cell>
          <cell r="C216">
            <v>1</v>
          </cell>
          <cell r="D216">
            <v>52</v>
          </cell>
          <cell r="E216">
            <v>11.0776</v>
          </cell>
          <cell r="F216">
            <v>38.832799999999999</v>
          </cell>
        </row>
        <row r="217">
          <cell r="A217">
            <v>2</v>
          </cell>
          <cell r="B217">
            <v>2369</v>
          </cell>
          <cell r="C217">
            <v>1</v>
          </cell>
          <cell r="D217">
            <v>52</v>
          </cell>
          <cell r="E217">
            <v>13.2889</v>
          </cell>
          <cell r="F217">
            <v>39.864899999999999</v>
          </cell>
        </row>
        <row r="218">
          <cell r="A218">
            <v>2</v>
          </cell>
          <cell r="B218">
            <v>2370</v>
          </cell>
          <cell r="C218">
            <v>1</v>
          </cell>
          <cell r="D218">
            <v>4</v>
          </cell>
          <cell r="E218">
            <v>0</v>
          </cell>
          <cell r="F218">
            <v>-2.0261000000000001E-2</v>
          </cell>
        </row>
        <row r="219">
          <cell r="A219">
            <v>2</v>
          </cell>
          <cell r="B219">
            <v>2370</v>
          </cell>
          <cell r="C219">
            <v>1</v>
          </cell>
          <cell r="D219">
            <v>51</v>
          </cell>
          <cell r="E219">
            <v>6.4632050000000003</v>
          </cell>
          <cell r="F219">
            <v>19.646833000000001</v>
          </cell>
        </row>
        <row r="220">
          <cell r="A220">
            <v>2</v>
          </cell>
          <cell r="B220">
            <v>2370</v>
          </cell>
          <cell r="C220">
            <v>1</v>
          </cell>
          <cell r="D220">
            <v>52</v>
          </cell>
          <cell r="E220">
            <v>0.763019</v>
          </cell>
          <cell r="F220">
            <v>2.1058759999999999</v>
          </cell>
        </row>
        <row r="221">
          <cell r="A221">
            <v>2</v>
          </cell>
          <cell r="B221">
            <v>2430</v>
          </cell>
          <cell r="C221">
            <v>1</v>
          </cell>
          <cell r="D221">
            <v>4</v>
          </cell>
          <cell r="E221">
            <v>-2.2961770000000001</v>
          </cell>
          <cell r="F221">
            <v>-8.6557309999999994</v>
          </cell>
        </row>
        <row r="222">
          <cell r="A222">
            <v>2</v>
          </cell>
          <cell r="B222">
            <v>2430</v>
          </cell>
          <cell r="C222">
            <v>1</v>
          </cell>
          <cell r="D222">
            <v>51</v>
          </cell>
          <cell r="E222">
            <v>8.4358520000000006</v>
          </cell>
          <cell r="F222">
            <v>24.442689000000001</v>
          </cell>
        </row>
        <row r="223">
          <cell r="A223">
            <v>2</v>
          </cell>
          <cell r="B223">
            <v>2430</v>
          </cell>
          <cell r="C223">
            <v>1</v>
          </cell>
          <cell r="D223">
            <v>52</v>
          </cell>
          <cell r="E223">
            <v>1.555825</v>
          </cell>
          <cell r="F223">
            <v>6.9360620000000006</v>
          </cell>
        </row>
        <row r="224">
          <cell r="A224">
            <v>2</v>
          </cell>
          <cell r="B224">
            <v>2441</v>
          </cell>
          <cell r="C224">
            <v>1</v>
          </cell>
          <cell r="D224">
            <v>52</v>
          </cell>
          <cell r="E224">
            <v>20.030283000000001</v>
          </cell>
          <cell r="F224">
            <v>80.091578999999996</v>
          </cell>
        </row>
        <row r="225">
          <cell r="A225">
            <v>2</v>
          </cell>
          <cell r="B225">
            <v>2451</v>
          </cell>
          <cell r="C225">
            <v>1</v>
          </cell>
          <cell r="D225">
            <v>51</v>
          </cell>
          <cell r="E225">
            <v>0.53878000000000004</v>
          </cell>
          <cell r="F225">
            <v>1.6163400000000001</v>
          </cell>
        </row>
        <row r="226">
          <cell r="A226">
            <v>2</v>
          </cell>
          <cell r="B226">
            <v>2451</v>
          </cell>
          <cell r="C226">
            <v>1</v>
          </cell>
          <cell r="D226">
            <v>52</v>
          </cell>
          <cell r="E226">
            <v>0.66444800000000004</v>
          </cell>
          <cell r="F226">
            <v>0.66600700000000002</v>
          </cell>
        </row>
        <row r="227">
          <cell r="A227">
            <v>2</v>
          </cell>
          <cell r="B227">
            <v>2451</v>
          </cell>
          <cell r="C227">
            <v>1</v>
          </cell>
          <cell r="D227">
            <v>591</v>
          </cell>
          <cell r="E227">
            <v>132.04900000000001</v>
          </cell>
          <cell r="F227">
            <v>363.81799999999998</v>
          </cell>
        </row>
        <row r="228">
          <cell r="A228">
            <v>2</v>
          </cell>
          <cell r="B228">
            <v>2504</v>
          </cell>
          <cell r="C228">
            <v>1</v>
          </cell>
          <cell r="D228">
            <v>52</v>
          </cell>
          <cell r="E228">
            <v>180.9</v>
          </cell>
          <cell r="F228">
            <v>600.9</v>
          </cell>
        </row>
        <row r="229">
          <cell r="A229">
            <v>2</v>
          </cell>
          <cell r="B229">
            <v>2514</v>
          </cell>
          <cell r="C229">
            <v>1</v>
          </cell>
          <cell r="D229">
            <v>51</v>
          </cell>
          <cell r="E229">
            <v>0.64218399999999998</v>
          </cell>
          <cell r="F229">
            <v>1.926552</v>
          </cell>
        </row>
        <row r="230">
          <cell r="A230">
            <v>2</v>
          </cell>
          <cell r="B230">
            <v>2516</v>
          </cell>
          <cell r="C230">
            <v>1</v>
          </cell>
          <cell r="D230">
            <v>4</v>
          </cell>
          <cell r="E230">
            <v>-11.820658</v>
          </cell>
          <cell r="F230">
            <v>-14.63937</v>
          </cell>
        </row>
        <row r="231">
          <cell r="A231">
            <v>2</v>
          </cell>
          <cell r="B231">
            <v>2516</v>
          </cell>
          <cell r="C231">
            <v>1</v>
          </cell>
          <cell r="D231">
            <v>51</v>
          </cell>
          <cell r="E231">
            <v>38.917144999999998</v>
          </cell>
          <cell r="F231">
            <v>113.171865</v>
          </cell>
        </row>
        <row r="232">
          <cell r="A232">
            <v>2</v>
          </cell>
          <cell r="B232">
            <v>2516</v>
          </cell>
          <cell r="C232">
            <v>1</v>
          </cell>
          <cell r="D232">
            <v>52</v>
          </cell>
          <cell r="E232">
            <v>28.503796999999999</v>
          </cell>
          <cell r="F232">
            <v>39.159725000000002</v>
          </cell>
        </row>
        <row r="233">
          <cell r="A233">
            <v>2</v>
          </cell>
          <cell r="B233">
            <v>2516</v>
          </cell>
          <cell r="C233">
            <v>1</v>
          </cell>
          <cell r="D233">
            <v>591</v>
          </cell>
          <cell r="E233">
            <v>5.0000000000000001E-3</v>
          </cell>
          <cell r="F233">
            <v>0.01</v>
          </cell>
        </row>
        <row r="234">
          <cell r="A234">
            <v>2</v>
          </cell>
          <cell r="B234">
            <v>2541</v>
          </cell>
          <cell r="C234">
            <v>1</v>
          </cell>
          <cell r="D234">
            <v>52</v>
          </cell>
          <cell r="E234">
            <v>2.92</v>
          </cell>
          <cell r="F234">
            <v>7.7380000000000004</v>
          </cell>
        </row>
        <row r="235">
          <cell r="A235">
            <v>2</v>
          </cell>
          <cell r="B235">
            <v>2551</v>
          </cell>
          <cell r="C235">
            <v>1</v>
          </cell>
          <cell r="D235">
            <v>52</v>
          </cell>
          <cell r="E235">
            <v>5.3029999999999999</v>
          </cell>
          <cell r="F235">
            <v>9.3979999999999997</v>
          </cell>
        </row>
        <row r="236">
          <cell r="A236">
            <v>2</v>
          </cell>
          <cell r="B236">
            <v>2581</v>
          </cell>
          <cell r="C236">
            <v>1</v>
          </cell>
          <cell r="D236">
            <v>52</v>
          </cell>
          <cell r="E236">
            <v>88.323362000000003</v>
          </cell>
          <cell r="F236">
            <v>239.94776200000001</v>
          </cell>
        </row>
        <row r="237">
          <cell r="A237">
            <v>2</v>
          </cell>
          <cell r="B237">
            <v>2720</v>
          </cell>
          <cell r="C237">
            <v>1</v>
          </cell>
          <cell r="D237">
            <v>52</v>
          </cell>
          <cell r="E237">
            <v>0.109662</v>
          </cell>
          <cell r="F237">
            <v>2.5198619999999998</v>
          </cell>
        </row>
        <row r="238">
          <cell r="A238">
            <v>2</v>
          </cell>
          <cell r="B238">
            <v>2720</v>
          </cell>
          <cell r="C238">
            <v>1</v>
          </cell>
          <cell r="D238">
            <v>591</v>
          </cell>
          <cell r="E238">
            <v>62.24</v>
          </cell>
          <cell r="F238">
            <v>87.392999000000003</v>
          </cell>
        </row>
        <row r="239">
          <cell r="A239">
            <v>2</v>
          </cell>
          <cell r="B239">
            <v>2725</v>
          </cell>
          <cell r="C239">
            <v>1</v>
          </cell>
          <cell r="D239">
            <v>4</v>
          </cell>
          <cell r="E239">
            <v>0</v>
          </cell>
          <cell r="F239">
            <v>-3.4904289999999998</v>
          </cell>
        </row>
        <row r="240">
          <cell r="A240">
            <v>2</v>
          </cell>
          <cell r="B240">
            <v>2725</v>
          </cell>
          <cell r="C240">
            <v>1</v>
          </cell>
          <cell r="D240">
            <v>51</v>
          </cell>
          <cell r="E240">
            <v>10.834353999999999</v>
          </cell>
          <cell r="F240">
            <v>32.842342000000002</v>
          </cell>
        </row>
        <row r="241">
          <cell r="A241">
            <v>2</v>
          </cell>
          <cell r="B241">
            <v>2725</v>
          </cell>
          <cell r="C241">
            <v>1</v>
          </cell>
          <cell r="D241">
            <v>52</v>
          </cell>
          <cell r="E241">
            <v>22.331068999999999</v>
          </cell>
          <cell r="F241">
            <v>55.083903999999997</v>
          </cell>
        </row>
        <row r="242">
          <cell r="A242">
            <v>2</v>
          </cell>
          <cell r="B242">
            <v>2872</v>
          </cell>
          <cell r="C242">
            <v>1</v>
          </cell>
          <cell r="D242">
            <v>51</v>
          </cell>
          <cell r="E242">
            <v>13.058902</v>
          </cell>
          <cell r="F242">
            <v>39.158223999999997</v>
          </cell>
        </row>
        <row r="243">
          <cell r="A243">
            <v>2</v>
          </cell>
          <cell r="B243">
            <v>2872</v>
          </cell>
          <cell r="C243">
            <v>1</v>
          </cell>
          <cell r="D243">
            <v>52</v>
          </cell>
          <cell r="E243">
            <v>0</v>
          </cell>
          <cell r="F243">
            <v>0.97539500000000001</v>
          </cell>
        </row>
        <row r="244">
          <cell r="A244">
            <v>2</v>
          </cell>
          <cell r="B244">
            <v>2872</v>
          </cell>
          <cell r="C244">
            <v>1</v>
          </cell>
          <cell r="D244">
            <v>591</v>
          </cell>
          <cell r="E244">
            <v>269</v>
          </cell>
          <cell r="F244">
            <v>5269</v>
          </cell>
        </row>
        <row r="245">
          <cell r="A245">
            <v>2</v>
          </cell>
          <cell r="B245">
            <v>2884</v>
          </cell>
          <cell r="C245">
            <v>1</v>
          </cell>
          <cell r="D245">
            <v>591</v>
          </cell>
          <cell r="E245">
            <v>0</v>
          </cell>
          <cell r="F245">
            <v>300</v>
          </cell>
        </row>
        <row r="246">
          <cell r="A246">
            <v>2</v>
          </cell>
          <cell r="B246">
            <v>2901</v>
          </cell>
          <cell r="C246">
            <v>1</v>
          </cell>
          <cell r="D246">
            <v>4</v>
          </cell>
          <cell r="E246">
            <v>-0.8</v>
          </cell>
          <cell r="F246">
            <v>-0.8</v>
          </cell>
        </row>
        <row r="247">
          <cell r="A247">
            <v>2</v>
          </cell>
          <cell r="B247">
            <v>2901</v>
          </cell>
          <cell r="C247">
            <v>1</v>
          </cell>
          <cell r="D247">
            <v>51</v>
          </cell>
          <cell r="E247">
            <v>5.8155029999999996</v>
          </cell>
          <cell r="F247">
            <v>17.849807999999999</v>
          </cell>
        </row>
        <row r="248">
          <cell r="A248">
            <v>2</v>
          </cell>
          <cell r="B248">
            <v>2901</v>
          </cell>
          <cell r="C248">
            <v>1</v>
          </cell>
          <cell r="D248">
            <v>52</v>
          </cell>
          <cell r="E248">
            <v>2.5602179999999999</v>
          </cell>
          <cell r="F248">
            <v>7.7084299999999999</v>
          </cell>
        </row>
        <row r="249">
          <cell r="A249">
            <v>2</v>
          </cell>
          <cell r="B249">
            <v>2902</v>
          </cell>
          <cell r="C249">
            <v>1</v>
          </cell>
          <cell r="D249">
            <v>4</v>
          </cell>
          <cell r="E249">
            <v>-7.0304080000000004</v>
          </cell>
          <cell r="F249">
            <v>-24.532975</v>
          </cell>
        </row>
        <row r="250">
          <cell r="A250">
            <v>2</v>
          </cell>
          <cell r="B250">
            <v>2902</v>
          </cell>
          <cell r="C250">
            <v>1</v>
          </cell>
          <cell r="D250">
            <v>51</v>
          </cell>
          <cell r="E250">
            <v>15.667173</v>
          </cell>
          <cell r="F250">
            <v>48.312206000000003</v>
          </cell>
        </row>
        <row r="251">
          <cell r="A251">
            <v>2</v>
          </cell>
          <cell r="B251">
            <v>2902</v>
          </cell>
          <cell r="C251">
            <v>1</v>
          </cell>
          <cell r="D251">
            <v>52</v>
          </cell>
          <cell r="E251">
            <v>14.14751</v>
          </cell>
          <cell r="F251">
            <v>42.911561999999996</v>
          </cell>
        </row>
        <row r="252">
          <cell r="A252">
            <v>2</v>
          </cell>
          <cell r="B252">
            <v>2902</v>
          </cell>
          <cell r="C252">
            <v>1</v>
          </cell>
          <cell r="D252">
            <v>591</v>
          </cell>
          <cell r="E252">
            <v>5.6005000000000003</v>
          </cell>
          <cell r="F252">
            <v>5.6059999999999999</v>
          </cell>
        </row>
        <row r="253">
          <cell r="A253">
            <v>2</v>
          </cell>
          <cell r="B253">
            <v>2902</v>
          </cell>
          <cell r="C253">
            <v>5</v>
          </cell>
          <cell r="D253">
            <v>51</v>
          </cell>
          <cell r="E253">
            <v>0.42144900000000002</v>
          </cell>
          <cell r="F253">
            <v>1.2833540000000001</v>
          </cell>
        </row>
        <row r="254">
          <cell r="A254">
            <v>2</v>
          </cell>
          <cell r="B254">
            <v>2902</v>
          </cell>
          <cell r="C254">
            <v>5</v>
          </cell>
          <cell r="D254">
            <v>52</v>
          </cell>
          <cell r="E254">
            <v>0.33758300000000002</v>
          </cell>
          <cell r="F254">
            <v>1.4177200000000001</v>
          </cell>
        </row>
        <row r="255">
          <cell r="A255">
            <v>2</v>
          </cell>
          <cell r="B255">
            <v>2902</v>
          </cell>
          <cell r="C255">
            <v>5</v>
          </cell>
          <cell r="D255">
            <v>591</v>
          </cell>
          <cell r="E255">
            <v>20</v>
          </cell>
          <cell r="F255">
            <v>20</v>
          </cell>
        </row>
        <row r="256">
          <cell r="A256">
            <v>2</v>
          </cell>
          <cell r="B256">
            <v>2903</v>
          </cell>
          <cell r="C256">
            <v>1</v>
          </cell>
          <cell r="D256">
            <v>4</v>
          </cell>
          <cell r="E256">
            <v>-1.5878060000000001</v>
          </cell>
          <cell r="F256">
            <v>-2.6344120000000002</v>
          </cell>
        </row>
        <row r="257">
          <cell r="A257">
            <v>2</v>
          </cell>
          <cell r="B257">
            <v>2903</v>
          </cell>
          <cell r="C257">
            <v>1</v>
          </cell>
          <cell r="D257">
            <v>51</v>
          </cell>
          <cell r="E257">
            <v>13.794442</v>
          </cell>
          <cell r="F257">
            <v>42.605626000000001</v>
          </cell>
        </row>
        <row r="258">
          <cell r="A258">
            <v>2</v>
          </cell>
          <cell r="B258">
            <v>2903</v>
          </cell>
          <cell r="C258">
            <v>1</v>
          </cell>
          <cell r="D258">
            <v>52</v>
          </cell>
          <cell r="E258">
            <v>4.3991290000000003</v>
          </cell>
          <cell r="F258">
            <v>24.973731999999998</v>
          </cell>
        </row>
        <row r="259">
          <cell r="A259">
            <v>2</v>
          </cell>
          <cell r="B259">
            <v>2903</v>
          </cell>
          <cell r="C259">
            <v>1</v>
          </cell>
          <cell r="D259">
            <v>591</v>
          </cell>
          <cell r="E259">
            <v>5.0000000000000001E-3</v>
          </cell>
          <cell r="F259">
            <v>5.0000000000000001E-3</v>
          </cell>
        </row>
        <row r="260">
          <cell r="A260">
            <v>2</v>
          </cell>
          <cell r="B260">
            <v>2904</v>
          </cell>
          <cell r="C260">
            <v>1</v>
          </cell>
          <cell r="D260">
            <v>4</v>
          </cell>
          <cell r="E260">
            <v>-1.6950529999999999</v>
          </cell>
          <cell r="F260">
            <v>-2.3188939999999998</v>
          </cell>
        </row>
        <row r="261">
          <cell r="A261">
            <v>2</v>
          </cell>
          <cell r="B261">
            <v>2904</v>
          </cell>
          <cell r="C261">
            <v>1</v>
          </cell>
          <cell r="D261">
            <v>51</v>
          </cell>
          <cell r="E261">
            <v>3.926685</v>
          </cell>
          <cell r="F261">
            <v>11.303369999999999</v>
          </cell>
        </row>
        <row r="262">
          <cell r="A262">
            <v>2</v>
          </cell>
          <cell r="B262">
            <v>2904</v>
          </cell>
          <cell r="C262">
            <v>1</v>
          </cell>
          <cell r="D262">
            <v>52</v>
          </cell>
          <cell r="E262">
            <v>5.5720470000000004</v>
          </cell>
          <cell r="F262">
            <v>16.085381999999999</v>
          </cell>
        </row>
        <row r="263">
          <cell r="A263">
            <v>2</v>
          </cell>
          <cell r="B263">
            <v>2904</v>
          </cell>
          <cell r="C263">
            <v>1</v>
          </cell>
          <cell r="D263">
            <v>591</v>
          </cell>
          <cell r="E263">
            <v>1.9E-2</v>
          </cell>
          <cell r="F263">
            <v>1.9E-2</v>
          </cell>
        </row>
        <row r="264">
          <cell r="A264">
            <v>2</v>
          </cell>
          <cell r="B264">
            <v>2905</v>
          </cell>
          <cell r="C264">
            <v>1</v>
          </cell>
          <cell r="D264">
            <v>4</v>
          </cell>
          <cell r="E264">
            <v>-2.2384539999999999</v>
          </cell>
          <cell r="F264">
            <v>-11.150055999999999</v>
          </cell>
        </row>
        <row r="265">
          <cell r="A265">
            <v>2</v>
          </cell>
          <cell r="B265">
            <v>2905</v>
          </cell>
          <cell r="C265">
            <v>1</v>
          </cell>
          <cell r="D265">
            <v>51</v>
          </cell>
          <cell r="E265">
            <v>34.892874999999997</v>
          </cell>
          <cell r="F265">
            <v>103.40602</v>
          </cell>
        </row>
        <row r="266">
          <cell r="A266">
            <v>2</v>
          </cell>
          <cell r="B266">
            <v>2905</v>
          </cell>
          <cell r="C266">
            <v>1</v>
          </cell>
          <cell r="D266">
            <v>52</v>
          </cell>
          <cell r="E266">
            <v>80.26614099999999</v>
          </cell>
          <cell r="F266">
            <v>294.76300299999997</v>
          </cell>
        </row>
        <row r="267">
          <cell r="A267">
            <v>2</v>
          </cell>
          <cell r="B267">
            <v>2906</v>
          </cell>
          <cell r="C267">
            <v>1</v>
          </cell>
          <cell r="D267">
            <v>4</v>
          </cell>
          <cell r="E267">
            <v>-0.30369200000000002</v>
          </cell>
          <cell r="F267">
            <v>-0.37519200000000003</v>
          </cell>
        </row>
        <row r="268">
          <cell r="A268">
            <v>2</v>
          </cell>
          <cell r="B268">
            <v>2906</v>
          </cell>
          <cell r="C268">
            <v>1</v>
          </cell>
          <cell r="D268">
            <v>51</v>
          </cell>
          <cell r="E268">
            <v>0.82633999999999996</v>
          </cell>
          <cell r="F268">
            <v>2.297453</v>
          </cell>
        </row>
        <row r="269">
          <cell r="A269">
            <v>2</v>
          </cell>
          <cell r="B269">
            <v>2906</v>
          </cell>
          <cell r="C269">
            <v>1</v>
          </cell>
          <cell r="D269">
            <v>52</v>
          </cell>
          <cell r="E269">
            <v>0.61338000000000004</v>
          </cell>
          <cell r="F269">
            <v>1.960067</v>
          </cell>
        </row>
        <row r="270">
          <cell r="A270">
            <v>2</v>
          </cell>
          <cell r="B270">
            <v>2907</v>
          </cell>
          <cell r="C270">
            <v>1</v>
          </cell>
          <cell r="D270">
            <v>4</v>
          </cell>
          <cell r="E270">
            <v>-0.87365599999999999</v>
          </cell>
          <cell r="F270">
            <v>-3.1863090000000001</v>
          </cell>
        </row>
        <row r="271">
          <cell r="A271">
            <v>2</v>
          </cell>
          <cell r="B271">
            <v>2907</v>
          </cell>
          <cell r="C271">
            <v>1</v>
          </cell>
          <cell r="D271">
            <v>51</v>
          </cell>
          <cell r="E271">
            <v>7.4903399999999998</v>
          </cell>
          <cell r="F271">
            <v>22.030905000000001</v>
          </cell>
        </row>
        <row r="272">
          <cell r="A272">
            <v>2</v>
          </cell>
          <cell r="B272">
            <v>2907</v>
          </cell>
          <cell r="C272">
            <v>1</v>
          </cell>
          <cell r="D272">
            <v>52</v>
          </cell>
          <cell r="E272">
            <v>5.118258</v>
          </cell>
          <cell r="F272">
            <v>25.131224</v>
          </cell>
        </row>
        <row r="273">
          <cell r="A273">
            <v>2</v>
          </cell>
          <cell r="B273">
            <v>2908</v>
          </cell>
          <cell r="C273">
            <v>1</v>
          </cell>
          <cell r="D273">
            <v>4</v>
          </cell>
          <cell r="E273">
            <v>-3.2139000000000001E-2</v>
          </cell>
          <cell r="F273">
            <v>-6.5639000000000003E-2</v>
          </cell>
        </row>
        <row r="274">
          <cell r="A274">
            <v>2</v>
          </cell>
          <cell r="B274">
            <v>2908</v>
          </cell>
          <cell r="C274">
            <v>1</v>
          </cell>
          <cell r="D274">
            <v>51</v>
          </cell>
          <cell r="E274">
            <v>2.2860969999999998</v>
          </cell>
          <cell r="F274">
            <v>6.8563770000000002</v>
          </cell>
        </row>
        <row r="275">
          <cell r="A275">
            <v>2</v>
          </cell>
          <cell r="B275">
            <v>2908</v>
          </cell>
          <cell r="C275">
            <v>1</v>
          </cell>
          <cell r="D275">
            <v>52</v>
          </cell>
          <cell r="E275">
            <v>4.7679739999999997</v>
          </cell>
          <cell r="F275">
            <v>8.3273080000000004</v>
          </cell>
        </row>
        <row r="276">
          <cell r="A276">
            <v>2</v>
          </cell>
          <cell r="B276">
            <v>2909</v>
          </cell>
          <cell r="C276">
            <v>1</v>
          </cell>
          <cell r="D276">
            <v>4</v>
          </cell>
          <cell r="E276">
            <v>-0.35199999999999998</v>
          </cell>
          <cell r="F276">
            <v>-0.38200000000000001</v>
          </cell>
        </row>
        <row r="277">
          <cell r="A277">
            <v>2</v>
          </cell>
          <cell r="B277">
            <v>2909</v>
          </cell>
          <cell r="C277">
            <v>1</v>
          </cell>
          <cell r="D277">
            <v>51</v>
          </cell>
          <cell r="E277">
            <v>3.805704</v>
          </cell>
          <cell r="F277">
            <v>9.9983140000000006</v>
          </cell>
        </row>
        <row r="278">
          <cell r="A278">
            <v>2</v>
          </cell>
          <cell r="B278">
            <v>2909</v>
          </cell>
          <cell r="C278">
            <v>1</v>
          </cell>
          <cell r="D278">
            <v>52</v>
          </cell>
          <cell r="E278">
            <v>4.2971690000000002</v>
          </cell>
          <cell r="F278">
            <v>12.810054999999998</v>
          </cell>
        </row>
        <row r="279">
          <cell r="A279">
            <v>2</v>
          </cell>
          <cell r="B279">
            <v>2909</v>
          </cell>
          <cell r="C279">
            <v>1</v>
          </cell>
          <cell r="D279">
            <v>591</v>
          </cell>
          <cell r="E279">
            <v>0.03</v>
          </cell>
          <cell r="F279">
            <v>5.5E-2</v>
          </cell>
        </row>
        <row r="280">
          <cell r="A280">
            <v>2</v>
          </cell>
          <cell r="B280">
            <v>2911</v>
          </cell>
          <cell r="C280">
            <v>1</v>
          </cell>
          <cell r="D280">
            <v>51</v>
          </cell>
          <cell r="E280">
            <v>1.6543509999999999</v>
          </cell>
          <cell r="F280">
            <v>3.6716319999999998</v>
          </cell>
        </row>
        <row r="281">
          <cell r="A281">
            <v>2</v>
          </cell>
          <cell r="B281">
            <v>2911</v>
          </cell>
          <cell r="C281">
            <v>1</v>
          </cell>
          <cell r="D281">
            <v>52</v>
          </cell>
          <cell r="E281">
            <v>0.358794</v>
          </cell>
          <cell r="F281">
            <v>1.420571</v>
          </cell>
        </row>
        <row r="282">
          <cell r="A282">
            <v>2</v>
          </cell>
          <cell r="B282">
            <v>2913</v>
          </cell>
          <cell r="C282">
            <v>1</v>
          </cell>
          <cell r="D282">
            <v>4</v>
          </cell>
          <cell r="E282">
            <v>-9.6880999999999995E-2</v>
          </cell>
          <cell r="F282">
            <v>-0.272059</v>
          </cell>
        </row>
        <row r="283">
          <cell r="A283">
            <v>2</v>
          </cell>
          <cell r="B283">
            <v>2913</v>
          </cell>
          <cell r="C283">
            <v>1</v>
          </cell>
          <cell r="D283">
            <v>51</v>
          </cell>
          <cell r="E283">
            <v>1.6668080000000001</v>
          </cell>
          <cell r="F283">
            <v>4.7731089999999998</v>
          </cell>
        </row>
        <row r="284">
          <cell r="A284">
            <v>2</v>
          </cell>
          <cell r="B284">
            <v>2913</v>
          </cell>
          <cell r="C284">
            <v>1</v>
          </cell>
          <cell r="D284">
            <v>52</v>
          </cell>
          <cell r="E284">
            <v>0.43802099999999999</v>
          </cell>
          <cell r="F284">
            <v>1.420085</v>
          </cell>
        </row>
        <row r="285">
          <cell r="A285">
            <v>2</v>
          </cell>
          <cell r="B285">
            <v>2913</v>
          </cell>
          <cell r="C285">
            <v>5</v>
          </cell>
          <cell r="D285">
            <v>52</v>
          </cell>
          <cell r="E285">
            <v>0</v>
          </cell>
          <cell r="F285">
            <v>0.56555500000000003</v>
          </cell>
        </row>
        <row r="286">
          <cell r="A286">
            <v>2</v>
          </cell>
          <cell r="B286">
            <v>2918</v>
          </cell>
          <cell r="C286">
            <v>1</v>
          </cell>
          <cell r="D286">
            <v>51</v>
          </cell>
          <cell r="E286">
            <v>0.78241499999999997</v>
          </cell>
          <cell r="F286">
            <v>1.968798</v>
          </cell>
        </row>
        <row r="287">
          <cell r="A287">
            <v>2</v>
          </cell>
          <cell r="B287">
            <v>2918</v>
          </cell>
          <cell r="C287">
            <v>1</v>
          </cell>
          <cell r="D287">
            <v>52</v>
          </cell>
          <cell r="E287">
            <v>0.12478499999999999</v>
          </cell>
          <cell r="F287">
            <v>0.60901899999999998</v>
          </cell>
        </row>
        <row r="288">
          <cell r="A288">
            <v>2</v>
          </cell>
          <cell r="B288">
            <v>2918</v>
          </cell>
          <cell r="C288">
            <v>1</v>
          </cell>
          <cell r="D288">
            <v>591</v>
          </cell>
          <cell r="E288">
            <v>18.9375</v>
          </cell>
          <cell r="F288">
            <v>20.075503999999999</v>
          </cell>
        </row>
        <row r="289">
          <cell r="A289">
            <v>2</v>
          </cell>
          <cell r="B289">
            <v>2919</v>
          </cell>
          <cell r="C289">
            <v>1</v>
          </cell>
          <cell r="D289">
            <v>52</v>
          </cell>
          <cell r="E289">
            <v>8.0058000000000004E-2</v>
          </cell>
          <cell r="F289">
            <v>0.13927200000000001</v>
          </cell>
        </row>
        <row r="290">
          <cell r="A290">
            <v>2</v>
          </cell>
          <cell r="B290">
            <v>2919</v>
          </cell>
          <cell r="C290">
            <v>1</v>
          </cell>
          <cell r="D290">
            <v>591</v>
          </cell>
          <cell r="E290">
            <v>23.734999999999999</v>
          </cell>
          <cell r="F290">
            <v>57.844999999999999</v>
          </cell>
        </row>
        <row r="291">
          <cell r="A291">
            <v>2</v>
          </cell>
          <cell r="B291">
            <v>2919</v>
          </cell>
          <cell r="C291">
            <v>6</v>
          </cell>
          <cell r="D291">
            <v>591</v>
          </cell>
          <cell r="E291">
            <v>24.7</v>
          </cell>
          <cell r="F291">
            <v>37.9</v>
          </cell>
        </row>
        <row r="292">
          <cell r="A292">
            <v>2</v>
          </cell>
          <cell r="B292">
            <v>2969</v>
          </cell>
          <cell r="C292">
            <v>6</v>
          </cell>
          <cell r="D292">
            <v>52</v>
          </cell>
          <cell r="E292">
            <v>0</v>
          </cell>
          <cell r="F292">
            <v>0.17532700000000001</v>
          </cell>
        </row>
        <row r="293">
          <cell r="A293">
            <v>2</v>
          </cell>
          <cell r="B293">
            <v>2969</v>
          </cell>
          <cell r="C293">
            <v>6</v>
          </cell>
          <cell r="D293">
            <v>591</v>
          </cell>
          <cell r="E293">
            <v>0</v>
          </cell>
          <cell r="F293">
            <v>6</v>
          </cell>
        </row>
        <row r="294">
          <cell r="A294">
            <v>2</v>
          </cell>
          <cell r="B294">
            <v>2971</v>
          </cell>
          <cell r="C294">
            <v>1</v>
          </cell>
          <cell r="D294">
            <v>52</v>
          </cell>
          <cell r="E294">
            <v>268.16666700000002</v>
          </cell>
          <cell r="F294">
            <v>804.500001</v>
          </cell>
        </row>
        <row r="295">
          <cell r="A295">
            <v>2</v>
          </cell>
          <cell r="B295">
            <v>2972</v>
          </cell>
          <cell r="C295">
            <v>1</v>
          </cell>
          <cell r="D295">
            <v>51</v>
          </cell>
          <cell r="E295">
            <v>6.574249</v>
          </cell>
          <cell r="F295">
            <v>19.237067</v>
          </cell>
        </row>
        <row r="296">
          <cell r="A296">
            <v>2</v>
          </cell>
          <cell r="B296">
            <v>2972</v>
          </cell>
          <cell r="C296">
            <v>1</v>
          </cell>
          <cell r="D296">
            <v>52</v>
          </cell>
          <cell r="E296">
            <v>1.7014180000000001</v>
          </cell>
          <cell r="F296">
            <v>8.9221819999999994</v>
          </cell>
        </row>
        <row r="297">
          <cell r="A297">
            <v>2</v>
          </cell>
          <cell r="B297">
            <v>2973</v>
          </cell>
          <cell r="C297">
            <v>1</v>
          </cell>
          <cell r="D297">
            <v>4</v>
          </cell>
          <cell r="E297">
            <v>-43.754854000000002</v>
          </cell>
          <cell r="F297">
            <v>-74.381052999999994</v>
          </cell>
        </row>
        <row r="298">
          <cell r="A298">
            <v>2</v>
          </cell>
          <cell r="B298">
            <v>2973</v>
          </cell>
          <cell r="C298">
            <v>1</v>
          </cell>
          <cell r="D298">
            <v>51</v>
          </cell>
          <cell r="E298">
            <v>60.154305000000001</v>
          </cell>
          <cell r="F298">
            <v>186.370001</v>
          </cell>
        </row>
        <row r="299">
          <cell r="A299">
            <v>2</v>
          </cell>
          <cell r="B299">
            <v>2973</v>
          </cell>
          <cell r="C299">
            <v>1</v>
          </cell>
          <cell r="D299">
            <v>52</v>
          </cell>
          <cell r="E299">
            <v>28.671557999999997</v>
          </cell>
          <cell r="F299">
            <v>82.155514999999994</v>
          </cell>
        </row>
        <row r="300">
          <cell r="A300">
            <v>2</v>
          </cell>
          <cell r="B300">
            <v>2974</v>
          </cell>
          <cell r="C300">
            <v>1</v>
          </cell>
          <cell r="D300">
            <v>4</v>
          </cell>
          <cell r="E300">
            <v>-8.7595749999999999</v>
          </cell>
          <cell r="F300">
            <v>-17.116962000000001</v>
          </cell>
        </row>
        <row r="301">
          <cell r="A301">
            <v>2</v>
          </cell>
          <cell r="B301">
            <v>2974</v>
          </cell>
          <cell r="C301">
            <v>1</v>
          </cell>
          <cell r="D301">
            <v>51</v>
          </cell>
          <cell r="E301">
            <v>43.705216999999998</v>
          </cell>
          <cell r="F301">
            <v>132.090577</v>
          </cell>
        </row>
        <row r="302">
          <cell r="A302">
            <v>2</v>
          </cell>
          <cell r="B302">
            <v>2974</v>
          </cell>
          <cell r="C302">
            <v>1</v>
          </cell>
          <cell r="D302">
            <v>52</v>
          </cell>
          <cell r="E302">
            <v>19.87124</v>
          </cell>
          <cell r="F302">
            <v>53.868665</v>
          </cell>
        </row>
        <row r="303">
          <cell r="A303">
            <v>2</v>
          </cell>
          <cell r="B303">
            <v>2977</v>
          </cell>
          <cell r="C303">
            <v>1</v>
          </cell>
          <cell r="D303">
            <v>591</v>
          </cell>
          <cell r="E303">
            <v>6.2672420000000004</v>
          </cell>
          <cell r="F303">
            <v>16.315846000000001</v>
          </cell>
        </row>
        <row r="304">
          <cell r="A304">
            <v>2</v>
          </cell>
          <cell r="B304">
            <v>2978</v>
          </cell>
          <cell r="C304">
            <v>1</v>
          </cell>
          <cell r="D304">
            <v>51</v>
          </cell>
          <cell r="E304">
            <v>3.3960629999999998</v>
          </cell>
          <cell r="F304">
            <v>4.0872080000000004</v>
          </cell>
        </row>
        <row r="305">
          <cell r="A305">
            <v>2</v>
          </cell>
          <cell r="B305">
            <v>2978</v>
          </cell>
          <cell r="C305">
            <v>1</v>
          </cell>
          <cell r="D305">
            <v>52</v>
          </cell>
          <cell r="E305">
            <v>2.2030000000000001E-3</v>
          </cell>
          <cell r="F305">
            <v>0.13570499999999999</v>
          </cell>
        </row>
        <row r="306">
          <cell r="A306">
            <v>2</v>
          </cell>
          <cell r="B306">
            <v>2978</v>
          </cell>
          <cell r="C306">
            <v>1</v>
          </cell>
          <cell r="D306">
            <v>591</v>
          </cell>
          <cell r="E306">
            <v>28.035784</v>
          </cell>
          <cell r="F306">
            <v>60.580697999999998</v>
          </cell>
        </row>
        <row r="307">
          <cell r="A307">
            <v>2</v>
          </cell>
          <cell r="B307">
            <v>2979</v>
          </cell>
          <cell r="C307">
            <v>1</v>
          </cell>
          <cell r="D307">
            <v>51</v>
          </cell>
          <cell r="E307">
            <v>1.4397770000000001</v>
          </cell>
          <cell r="F307">
            <v>3.800745</v>
          </cell>
        </row>
        <row r="308">
          <cell r="A308">
            <v>2</v>
          </cell>
          <cell r="B308">
            <v>2979</v>
          </cell>
          <cell r="C308">
            <v>1</v>
          </cell>
          <cell r="D308">
            <v>52</v>
          </cell>
          <cell r="E308">
            <v>1.9661820000000001</v>
          </cell>
          <cell r="F308">
            <v>5.2098279999999999</v>
          </cell>
        </row>
        <row r="309">
          <cell r="A309">
            <v>2</v>
          </cell>
          <cell r="B309">
            <v>2979</v>
          </cell>
          <cell r="C309">
            <v>6</v>
          </cell>
          <cell r="D309">
            <v>4</v>
          </cell>
          <cell r="E309">
            <v>-15</v>
          </cell>
          <cell r="F309">
            <v>-18.899999999999999</v>
          </cell>
        </row>
        <row r="310">
          <cell r="A310">
            <v>2</v>
          </cell>
          <cell r="B310">
            <v>2979</v>
          </cell>
          <cell r="C310">
            <v>6</v>
          </cell>
          <cell r="D310">
            <v>51</v>
          </cell>
          <cell r="E310">
            <v>0.57771499999999998</v>
          </cell>
          <cell r="F310">
            <v>1.7331449999999999</v>
          </cell>
        </row>
        <row r="311">
          <cell r="A311">
            <v>2</v>
          </cell>
          <cell r="B311">
            <v>2979</v>
          </cell>
          <cell r="C311">
            <v>6</v>
          </cell>
          <cell r="D311">
            <v>52</v>
          </cell>
          <cell r="E311">
            <v>1.3446130000000001</v>
          </cell>
          <cell r="F311">
            <v>6.2213409999999998</v>
          </cell>
        </row>
        <row r="312">
          <cell r="A312">
            <v>2</v>
          </cell>
          <cell r="B312">
            <v>2979</v>
          </cell>
          <cell r="C312">
            <v>6</v>
          </cell>
          <cell r="D312">
            <v>591</v>
          </cell>
          <cell r="E312">
            <v>15.1</v>
          </cell>
          <cell r="F312">
            <v>37.85</v>
          </cell>
        </row>
        <row r="313">
          <cell r="A313">
            <v>2</v>
          </cell>
          <cell r="B313">
            <v>2980</v>
          </cell>
          <cell r="C313">
            <v>6</v>
          </cell>
          <cell r="D313">
            <v>4</v>
          </cell>
          <cell r="E313">
            <v>-0.16586300000000001</v>
          </cell>
          <cell r="F313">
            <v>-0.16586300000000001</v>
          </cell>
        </row>
        <row r="314">
          <cell r="A314">
            <v>2</v>
          </cell>
          <cell r="B314">
            <v>2980</v>
          </cell>
          <cell r="C314">
            <v>6</v>
          </cell>
          <cell r="D314">
            <v>51</v>
          </cell>
          <cell r="E314">
            <v>0</v>
          </cell>
          <cell r="F314">
            <v>0.124184</v>
          </cell>
        </row>
        <row r="315">
          <cell r="A315">
            <v>2</v>
          </cell>
          <cell r="B315">
            <v>2980</v>
          </cell>
          <cell r="C315">
            <v>6</v>
          </cell>
          <cell r="D315">
            <v>52</v>
          </cell>
          <cell r="E315">
            <v>0.81033599999999995</v>
          </cell>
          <cell r="F315">
            <v>0.81033599999999995</v>
          </cell>
        </row>
        <row r="316">
          <cell r="A316">
            <v>2</v>
          </cell>
          <cell r="B316">
            <v>2981</v>
          </cell>
          <cell r="C316">
            <v>1</v>
          </cell>
          <cell r="D316">
            <v>4</v>
          </cell>
          <cell r="E316">
            <v>-5.267E-3</v>
          </cell>
          <cell r="F316">
            <v>-0.52354599999999996</v>
          </cell>
        </row>
        <row r="317">
          <cell r="A317">
            <v>2</v>
          </cell>
          <cell r="B317">
            <v>2981</v>
          </cell>
          <cell r="C317">
            <v>1</v>
          </cell>
          <cell r="D317">
            <v>51</v>
          </cell>
          <cell r="E317">
            <v>3.02121</v>
          </cell>
          <cell r="F317">
            <v>9.3440630000000002</v>
          </cell>
        </row>
        <row r="318">
          <cell r="A318">
            <v>2</v>
          </cell>
          <cell r="B318">
            <v>2981</v>
          </cell>
          <cell r="C318">
            <v>1</v>
          </cell>
          <cell r="D318">
            <v>52</v>
          </cell>
          <cell r="E318">
            <v>3.420623</v>
          </cell>
          <cell r="F318">
            <v>10.086902</v>
          </cell>
        </row>
        <row r="319">
          <cell r="A319">
            <v>2</v>
          </cell>
          <cell r="B319">
            <v>2981</v>
          </cell>
          <cell r="C319">
            <v>1</v>
          </cell>
          <cell r="D319">
            <v>591</v>
          </cell>
          <cell r="E319">
            <v>15.106109</v>
          </cell>
          <cell r="F319">
            <v>44.690868000000002</v>
          </cell>
        </row>
        <row r="320">
          <cell r="A320">
            <v>2</v>
          </cell>
          <cell r="B320">
            <v>2982</v>
          </cell>
          <cell r="C320">
            <v>1</v>
          </cell>
          <cell r="D320">
            <v>4</v>
          </cell>
          <cell r="E320">
            <v>-8.0063999999999996E-2</v>
          </cell>
          <cell r="F320">
            <v>-8.0063999999999996E-2</v>
          </cell>
        </row>
        <row r="321">
          <cell r="A321">
            <v>2</v>
          </cell>
          <cell r="B321">
            <v>2982</v>
          </cell>
          <cell r="C321">
            <v>1</v>
          </cell>
          <cell r="D321">
            <v>51</v>
          </cell>
          <cell r="E321">
            <v>3.7571469999999998</v>
          </cell>
          <cell r="F321">
            <v>55.091729999999998</v>
          </cell>
        </row>
        <row r="322">
          <cell r="A322">
            <v>2</v>
          </cell>
          <cell r="B322">
            <v>2982</v>
          </cell>
          <cell r="C322">
            <v>1</v>
          </cell>
          <cell r="D322">
            <v>52</v>
          </cell>
          <cell r="E322">
            <v>3.0905149999999999</v>
          </cell>
          <cell r="F322">
            <v>10.517315999999999</v>
          </cell>
        </row>
        <row r="323">
          <cell r="A323">
            <v>2</v>
          </cell>
          <cell r="B323">
            <v>2982</v>
          </cell>
          <cell r="C323">
            <v>1</v>
          </cell>
          <cell r="D323">
            <v>591</v>
          </cell>
          <cell r="E323">
            <v>54.086500000000001</v>
          </cell>
          <cell r="F323">
            <v>150.13300000000001</v>
          </cell>
        </row>
        <row r="324">
          <cell r="A324">
            <v>2</v>
          </cell>
          <cell r="B324">
            <v>2983</v>
          </cell>
          <cell r="C324">
            <v>1</v>
          </cell>
          <cell r="D324">
            <v>51</v>
          </cell>
          <cell r="E324">
            <v>0.240032</v>
          </cell>
          <cell r="F324">
            <v>0.72009900000000004</v>
          </cell>
        </row>
        <row r="325">
          <cell r="A325">
            <v>2</v>
          </cell>
          <cell r="B325">
            <v>2983</v>
          </cell>
          <cell r="C325">
            <v>1</v>
          </cell>
          <cell r="D325">
            <v>52</v>
          </cell>
          <cell r="E325">
            <v>0</v>
          </cell>
          <cell r="F325">
            <v>5.2002E-2</v>
          </cell>
        </row>
        <row r="326">
          <cell r="A326">
            <v>2</v>
          </cell>
          <cell r="B326">
            <v>2983</v>
          </cell>
          <cell r="C326">
            <v>1</v>
          </cell>
          <cell r="D326">
            <v>591</v>
          </cell>
          <cell r="E326">
            <v>14.99</v>
          </cell>
          <cell r="F326">
            <v>27.73</v>
          </cell>
        </row>
        <row r="327">
          <cell r="A327">
            <v>2</v>
          </cell>
          <cell r="B327">
            <v>2984</v>
          </cell>
          <cell r="C327">
            <v>1</v>
          </cell>
          <cell r="D327">
            <v>4</v>
          </cell>
          <cell r="E327">
            <v>-3.0223810000000002</v>
          </cell>
          <cell r="F327">
            <v>-18.407088000000002</v>
          </cell>
        </row>
        <row r="328">
          <cell r="A328">
            <v>2</v>
          </cell>
          <cell r="B328">
            <v>2984</v>
          </cell>
          <cell r="C328">
            <v>1</v>
          </cell>
          <cell r="D328">
            <v>52</v>
          </cell>
          <cell r="E328">
            <v>0.94833999999999996</v>
          </cell>
          <cell r="F328">
            <v>11.128676</v>
          </cell>
        </row>
        <row r="329">
          <cell r="A329">
            <v>2</v>
          </cell>
          <cell r="B329">
            <v>2984</v>
          </cell>
          <cell r="C329">
            <v>1</v>
          </cell>
          <cell r="D329">
            <v>591</v>
          </cell>
          <cell r="E329">
            <v>3.8515000000000001</v>
          </cell>
          <cell r="F329">
            <v>6.8514999999999997</v>
          </cell>
        </row>
        <row r="330">
          <cell r="A330">
            <v>2</v>
          </cell>
          <cell r="B330">
            <v>2985</v>
          </cell>
          <cell r="C330">
            <v>1</v>
          </cell>
          <cell r="D330">
            <v>4</v>
          </cell>
          <cell r="E330">
            <v>-1.5688070000000001</v>
          </cell>
          <cell r="F330">
            <v>-3.2873860000000001</v>
          </cell>
        </row>
        <row r="331">
          <cell r="A331">
            <v>2</v>
          </cell>
          <cell r="B331">
            <v>2985</v>
          </cell>
          <cell r="C331">
            <v>1</v>
          </cell>
          <cell r="D331">
            <v>51</v>
          </cell>
          <cell r="E331">
            <v>0.68157199999999996</v>
          </cell>
          <cell r="F331">
            <v>2.7700809999999998</v>
          </cell>
        </row>
        <row r="332">
          <cell r="A332">
            <v>2</v>
          </cell>
          <cell r="B332">
            <v>2985</v>
          </cell>
          <cell r="C332">
            <v>1</v>
          </cell>
          <cell r="D332">
            <v>52</v>
          </cell>
          <cell r="E332">
            <v>2.9108450000000001</v>
          </cell>
          <cell r="F332">
            <v>16.381967</v>
          </cell>
        </row>
        <row r="333">
          <cell r="A333">
            <v>2</v>
          </cell>
          <cell r="B333">
            <v>2985</v>
          </cell>
          <cell r="C333">
            <v>1</v>
          </cell>
          <cell r="D333">
            <v>591</v>
          </cell>
          <cell r="E333">
            <v>0.41912899999999997</v>
          </cell>
          <cell r="F333">
            <v>0.41912899999999997</v>
          </cell>
        </row>
        <row r="334">
          <cell r="A334">
            <v>2</v>
          </cell>
          <cell r="B334">
            <v>2988</v>
          </cell>
          <cell r="C334">
            <v>1</v>
          </cell>
          <cell r="D334">
            <v>51</v>
          </cell>
          <cell r="E334">
            <v>2.4771000000000001E-2</v>
          </cell>
          <cell r="F334">
            <v>7.4313000000000004E-2</v>
          </cell>
        </row>
        <row r="335">
          <cell r="A335">
            <v>2</v>
          </cell>
          <cell r="B335">
            <v>2988</v>
          </cell>
          <cell r="C335">
            <v>1</v>
          </cell>
          <cell r="D335">
            <v>52</v>
          </cell>
          <cell r="E335">
            <v>0.101218</v>
          </cell>
          <cell r="F335">
            <v>0.20377400000000001</v>
          </cell>
        </row>
        <row r="336">
          <cell r="A336">
            <v>2</v>
          </cell>
          <cell r="B336">
            <v>2988</v>
          </cell>
          <cell r="C336">
            <v>1</v>
          </cell>
          <cell r="D336">
            <v>591</v>
          </cell>
          <cell r="E336">
            <v>16.899999999999999</v>
          </cell>
          <cell r="F336">
            <v>50.26</v>
          </cell>
        </row>
        <row r="337">
          <cell r="A337">
            <v>2</v>
          </cell>
          <cell r="B337">
            <v>2989</v>
          </cell>
          <cell r="C337">
            <v>1</v>
          </cell>
          <cell r="D337">
            <v>51</v>
          </cell>
          <cell r="E337">
            <v>1.5769299999999999</v>
          </cell>
          <cell r="F337">
            <v>4.7307899999999998</v>
          </cell>
        </row>
        <row r="338">
          <cell r="A338">
            <v>2</v>
          </cell>
          <cell r="B338">
            <v>2989</v>
          </cell>
          <cell r="C338">
            <v>1</v>
          </cell>
          <cell r="D338">
            <v>52</v>
          </cell>
          <cell r="E338">
            <v>0</v>
          </cell>
          <cell r="F338">
            <v>1.1169999999999999E-2</v>
          </cell>
        </row>
        <row r="339">
          <cell r="A339">
            <v>2</v>
          </cell>
          <cell r="B339">
            <v>2989</v>
          </cell>
          <cell r="C339">
            <v>1</v>
          </cell>
          <cell r="D339">
            <v>591</v>
          </cell>
          <cell r="E339">
            <v>22.31</v>
          </cell>
          <cell r="F339">
            <v>79.099999999999994</v>
          </cell>
        </row>
        <row r="340">
          <cell r="A340">
            <v>2</v>
          </cell>
          <cell r="B340">
            <v>2989</v>
          </cell>
          <cell r="C340">
            <v>6</v>
          </cell>
          <cell r="D340">
            <v>591</v>
          </cell>
          <cell r="E340">
            <v>2</v>
          </cell>
          <cell r="F340">
            <v>2</v>
          </cell>
        </row>
        <row r="341">
          <cell r="A341">
            <v>2</v>
          </cell>
          <cell r="B341">
            <v>2999</v>
          </cell>
          <cell r="C341">
            <v>1</v>
          </cell>
          <cell r="D341">
            <v>4</v>
          </cell>
          <cell r="E341">
            <v>-5.1722599999999996</v>
          </cell>
          <cell r="F341">
            <v>-5.1722599999999996</v>
          </cell>
        </row>
        <row r="342">
          <cell r="A342">
            <v>2</v>
          </cell>
          <cell r="B342">
            <v>2999</v>
          </cell>
          <cell r="C342">
            <v>1</v>
          </cell>
          <cell r="D342">
            <v>51</v>
          </cell>
          <cell r="E342">
            <v>0.60081899999999999</v>
          </cell>
          <cell r="F342">
            <v>1.1949110000000001</v>
          </cell>
        </row>
        <row r="343">
          <cell r="A343">
            <v>2</v>
          </cell>
          <cell r="B343">
            <v>2999</v>
          </cell>
          <cell r="C343">
            <v>1</v>
          </cell>
          <cell r="D343">
            <v>52</v>
          </cell>
          <cell r="E343">
            <v>0.14204900000000001</v>
          </cell>
          <cell r="F343">
            <v>1.5744149999999999</v>
          </cell>
        </row>
        <row r="344">
          <cell r="A344">
            <v>2</v>
          </cell>
          <cell r="B344">
            <v>2999</v>
          </cell>
          <cell r="C344">
            <v>1</v>
          </cell>
          <cell r="D344">
            <v>591</v>
          </cell>
          <cell r="E344">
            <v>9.3249999999999993</v>
          </cell>
          <cell r="F344">
            <v>49.268624000000003</v>
          </cell>
        </row>
        <row r="345">
          <cell r="A345">
            <v>2</v>
          </cell>
          <cell r="B345">
            <v>2999</v>
          </cell>
          <cell r="C345">
            <v>6</v>
          </cell>
          <cell r="D345">
            <v>591</v>
          </cell>
          <cell r="E345">
            <v>2.8</v>
          </cell>
          <cell r="F345">
            <v>10.5</v>
          </cell>
        </row>
        <row r="346">
          <cell r="A346">
            <v>3</v>
          </cell>
          <cell r="B346">
            <v>3101</v>
          </cell>
          <cell r="C346">
            <v>1</v>
          </cell>
          <cell r="D346">
            <v>4</v>
          </cell>
          <cell r="E346">
            <v>-15.319240000000001</v>
          </cell>
          <cell r="F346">
            <v>-6.34877</v>
          </cell>
        </row>
        <row r="347">
          <cell r="A347">
            <v>3</v>
          </cell>
          <cell r="B347">
            <v>3101</v>
          </cell>
          <cell r="C347">
            <v>1</v>
          </cell>
          <cell r="D347">
            <v>51</v>
          </cell>
          <cell r="E347">
            <v>60.132367000000002</v>
          </cell>
          <cell r="F347">
            <v>181.72327200000001</v>
          </cell>
        </row>
        <row r="348">
          <cell r="A348">
            <v>3</v>
          </cell>
          <cell r="B348">
            <v>3101</v>
          </cell>
          <cell r="C348">
            <v>1</v>
          </cell>
          <cell r="D348">
            <v>52</v>
          </cell>
          <cell r="E348">
            <v>22.126140000000003</v>
          </cell>
          <cell r="F348">
            <v>104.251316</v>
          </cell>
        </row>
        <row r="349">
          <cell r="A349">
            <v>3</v>
          </cell>
          <cell r="B349">
            <v>3101</v>
          </cell>
          <cell r="C349">
            <v>1</v>
          </cell>
          <cell r="D349">
            <v>591</v>
          </cell>
          <cell r="E349">
            <v>3.25</v>
          </cell>
          <cell r="F349">
            <v>4.6377230000000003</v>
          </cell>
        </row>
        <row r="350">
          <cell r="A350">
            <v>3</v>
          </cell>
          <cell r="B350">
            <v>3111</v>
          </cell>
          <cell r="C350">
            <v>1</v>
          </cell>
          <cell r="D350">
            <v>51</v>
          </cell>
          <cell r="E350">
            <v>19.226375999999998</v>
          </cell>
          <cell r="F350">
            <v>52.988059999999997</v>
          </cell>
        </row>
        <row r="351">
          <cell r="A351">
            <v>3</v>
          </cell>
          <cell r="B351">
            <v>3111</v>
          </cell>
          <cell r="C351">
            <v>1</v>
          </cell>
          <cell r="D351">
            <v>52</v>
          </cell>
          <cell r="E351">
            <v>3.0969690000000001</v>
          </cell>
          <cell r="F351">
            <v>9.600575000000001</v>
          </cell>
        </row>
        <row r="352">
          <cell r="A352">
            <v>3</v>
          </cell>
          <cell r="B352">
            <v>3111</v>
          </cell>
          <cell r="C352">
            <v>1</v>
          </cell>
          <cell r="D352">
            <v>591</v>
          </cell>
          <cell r="E352">
            <v>0</v>
          </cell>
          <cell r="F352">
            <v>1.2917E-2</v>
          </cell>
        </row>
        <row r="353">
          <cell r="A353">
            <v>3</v>
          </cell>
          <cell r="B353">
            <v>3190</v>
          </cell>
          <cell r="C353">
            <v>1</v>
          </cell>
          <cell r="D353">
            <v>4</v>
          </cell>
          <cell r="E353">
            <v>-8.4449999999999994E-3</v>
          </cell>
          <cell r="F353">
            <v>-8.4449999999999994E-3</v>
          </cell>
        </row>
        <row r="354">
          <cell r="A354">
            <v>3</v>
          </cell>
          <cell r="B354">
            <v>3190</v>
          </cell>
          <cell r="C354">
            <v>1</v>
          </cell>
          <cell r="D354">
            <v>51</v>
          </cell>
          <cell r="E354">
            <v>3.2103579999999998</v>
          </cell>
          <cell r="F354">
            <v>7.6597229999999996</v>
          </cell>
        </row>
        <row r="355">
          <cell r="A355">
            <v>3</v>
          </cell>
          <cell r="B355">
            <v>3190</v>
          </cell>
          <cell r="C355">
            <v>1</v>
          </cell>
          <cell r="D355">
            <v>52</v>
          </cell>
          <cell r="E355">
            <v>28.414508000000001</v>
          </cell>
          <cell r="F355">
            <v>71.801828</v>
          </cell>
        </row>
        <row r="356">
          <cell r="A356">
            <v>3</v>
          </cell>
          <cell r="B356">
            <v>3190</v>
          </cell>
          <cell r="C356">
            <v>1</v>
          </cell>
          <cell r="D356">
            <v>591</v>
          </cell>
          <cell r="E356">
            <v>5.5</v>
          </cell>
          <cell r="F356">
            <v>-13.448363000000001</v>
          </cell>
        </row>
        <row r="357">
          <cell r="A357">
            <v>3</v>
          </cell>
          <cell r="B357">
            <v>3214</v>
          </cell>
          <cell r="C357">
            <v>1</v>
          </cell>
          <cell r="D357">
            <v>4</v>
          </cell>
          <cell r="E357">
            <v>-0.42701800000000001</v>
          </cell>
          <cell r="F357">
            <v>-1.0019480000000001</v>
          </cell>
        </row>
        <row r="358">
          <cell r="A358">
            <v>3</v>
          </cell>
          <cell r="B358">
            <v>3214</v>
          </cell>
          <cell r="C358">
            <v>1</v>
          </cell>
          <cell r="D358">
            <v>51</v>
          </cell>
          <cell r="E358">
            <v>39.928679000000002</v>
          </cell>
          <cell r="F358">
            <v>115.36228300000001</v>
          </cell>
        </row>
        <row r="359">
          <cell r="A359">
            <v>3</v>
          </cell>
          <cell r="B359">
            <v>3214</v>
          </cell>
          <cell r="C359">
            <v>1</v>
          </cell>
          <cell r="D359">
            <v>52</v>
          </cell>
          <cell r="E359">
            <v>37.303288999999999</v>
          </cell>
          <cell r="F359">
            <v>85.983629000000008</v>
          </cell>
        </row>
        <row r="360">
          <cell r="A360">
            <v>3</v>
          </cell>
          <cell r="B360">
            <v>3300</v>
          </cell>
          <cell r="C360">
            <v>1</v>
          </cell>
          <cell r="D360">
            <v>4</v>
          </cell>
          <cell r="E360">
            <v>-1.4831490000000001</v>
          </cell>
          <cell r="F360">
            <v>-5.169848</v>
          </cell>
        </row>
        <row r="361">
          <cell r="A361">
            <v>3</v>
          </cell>
          <cell r="B361">
            <v>3300</v>
          </cell>
          <cell r="C361">
            <v>1</v>
          </cell>
          <cell r="D361">
            <v>51</v>
          </cell>
          <cell r="E361">
            <v>111.184613</v>
          </cell>
          <cell r="F361">
            <v>339.99852600000003</v>
          </cell>
        </row>
        <row r="362">
          <cell r="A362">
            <v>3</v>
          </cell>
          <cell r="B362">
            <v>3300</v>
          </cell>
          <cell r="C362">
            <v>1</v>
          </cell>
          <cell r="D362">
            <v>52</v>
          </cell>
          <cell r="E362">
            <v>196.23215199999999</v>
          </cell>
          <cell r="F362">
            <v>438.26687300000003</v>
          </cell>
        </row>
        <row r="363">
          <cell r="A363">
            <v>3</v>
          </cell>
          <cell r="B363">
            <v>3300</v>
          </cell>
          <cell r="C363">
            <v>1</v>
          </cell>
          <cell r="D363">
            <v>591</v>
          </cell>
          <cell r="E363">
            <v>1</v>
          </cell>
          <cell r="F363">
            <v>1</v>
          </cell>
        </row>
        <row r="364">
          <cell r="A364">
            <v>3</v>
          </cell>
          <cell r="B364">
            <v>3300</v>
          </cell>
          <cell r="C364">
            <v>5</v>
          </cell>
          <cell r="D364">
            <v>52</v>
          </cell>
          <cell r="E364">
            <v>0</v>
          </cell>
          <cell r="F364">
            <v>0.86269899999999999</v>
          </cell>
        </row>
        <row r="365">
          <cell r="A365">
            <v>3</v>
          </cell>
          <cell r="B365">
            <v>3300</v>
          </cell>
          <cell r="C365">
            <v>6</v>
          </cell>
          <cell r="D365">
            <v>51</v>
          </cell>
          <cell r="E365">
            <v>0</v>
          </cell>
          <cell r="F365">
            <v>4.7576E-2</v>
          </cell>
        </row>
        <row r="366">
          <cell r="A366">
            <v>3</v>
          </cell>
          <cell r="B366">
            <v>3300</v>
          </cell>
          <cell r="C366">
            <v>6</v>
          </cell>
          <cell r="D366">
            <v>52</v>
          </cell>
          <cell r="E366">
            <v>0.45270500000000002</v>
          </cell>
          <cell r="F366">
            <v>2.709174</v>
          </cell>
        </row>
        <row r="367">
          <cell r="A367">
            <v>3</v>
          </cell>
          <cell r="B367">
            <v>3390</v>
          </cell>
          <cell r="C367">
            <v>1</v>
          </cell>
          <cell r="D367">
            <v>4</v>
          </cell>
          <cell r="E367">
            <v>-6.3833149999999996</v>
          </cell>
          <cell r="F367">
            <v>-6.781371</v>
          </cell>
        </row>
        <row r="368">
          <cell r="A368">
            <v>3</v>
          </cell>
          <cell r="B368">
            <v>3390</v>
          </cell>
          <cell r="C368">
            <v>1</v>
          </cell>
          <cell r="D368">
            <v>51</v>
          </cell>
          <cell r="E368">
            <v>32.784300000000002</v>
          </cell>
          <cell r="F368">
            <v>91.145425000000003</v>
          </cell>
        </row>
        <row r="369">
          <cell r="A369">
            <v>3</v>
          </cell>
          <cell r="B369">
            <v>3390</v>
          </cell>
          <cell r="C369">
            <v>1</v>
          </cell>
          <cell r="D369">
            <v>52</v>
          </cell>
          <cell r="E369">
            <v>20.015536000000001</v>
          </cell>
          <cell r="F369">
            <v>63.078488</v>
          </cell>
        </row>
        <row r="370">
          <cell r="A370">
            <v>3</v>
          </cell>
          <cell r="B370">
            <v>3390</v>
          </cell>
          <cell r="C370">
            <v>1</v>
          </cell>
          <cell r="D370">
            <v>591</v>
          </cell>
          <cell r="E370">
            <v>42.680664</v>
          </cell>
          <cell r="F370">
            <v>92.114825999999994</v>
          </cell>
        </row>
        <row r="371">
          <cell r="A371">
            <v>3</v>
          </cell>
          <cell r="B371">
            <v>3391</v>
          </cell>
          <cell r="C371">
            <v>1</v>
          </cell>
          <cell r="D371">
            <v>51</v>
          </cell>
          <cell r="E371">
            <v>13.270579</v>
          </cell>
          <cell r="F371">
            <v>41.333345000000001</v>
          </cell>
        </row>
        <row r="372">
          <cell r="A372">
            <v>3</v>
          </cell>
          <cell r="B372">
            <v>3391</v>
          </cell>
          <cell r="C372">
            <v>1</v>
          </cell>
          <cell r="D372">
            <v>52</v>
          </cell>
          <cell r="E372">
            <v>1.7954429999999999</v>
          </cell>
          <cell r="F372">
            <v>67.441395999999997</v>
          </cell>
        </row>
        <row r="373">
          <cell r="A373">
            <v>3</v>
          </cell>
          <cell r="B373">
            <v>3391</v>
          </cell>
          <cell r="C373">
            <v>1</v>
          </cell>
          <cell r="D373">
            <v>591</v>
          </cell>
          <cell r="E373">
            <v>108.76719300000001</v>
          </cell>
          <cell r="F373">
            <v>182.68921599999999</v>
          </cell>
        </row>
        <row r="374">
          <cell r="A374">
            <v>3</v>
          </cell>
          <cell r="B374">
            <v>3401</v>
          </cell>
          <cell r="C374">
            <v>1</v>
          </cell>
          <cell r="D374">
            <v>4</v>
          </cell>
          <cell r="E374">
            <v>-0.1</v>
          </cell>
          <cell r="F374">
            <v>-0.25</v>
          </cell>
        </row>
        <row r="375">
          <cell r="A375">
            <v>3</v>
          </cell>
          <cell r="B375">
            <v>3401</v>
          </cell>
          <cell r="C375">
            <v>1</v>
          </cell>
          <cell r="D375">
            <v>591</v>
          </cell>
          <cell r="E375">
            <v>355.80022400000001</v>
          </cell>
          <cell r="F375">
            <v>1126.6225710000001</v>
          </cell>
        </row>
        <row r="376">
          <cell r="A376">
            <v>3</v>
          </cell>
          <cell r="B376">
            <v>3611</v>
          </cell>
          <cell r="C376">
            <v>1</v>
          </cell>
          <cell r="D376">
            <v>591</v>
          </cell>
          <cell r="E376">
            <v>28.641634</v>
          </cell>
          <cell r="F376">
            <v>89.002852000000004</v>
          </cell>
        </row>
        <row r="377">
          <cell r="A377">
            <v>4</v>
          </cell>
          <cell r="B377">
            <v>4101</v>
          </cell>
          <cell r="C377">
            <v>1</v>
          </cell>
          <cell r="D377">
            <v>4</v>
          </cell>
          <cell r="E377">
            <v>-5.0000000000000001E-3</v>
          </cell>
          <cell r="F377">
            <v>-8.0000000000000002E-3</v>
          </cell>
        </row>
        <row r="378">
          <cell r="A378">
            <v>4</v>
          </cell>
          <cell r="B378">
            <v>4101</v>
          </cell>
          <cell r="C378">
            <v>1</v>
          </cell>
          <cell r="D378">
            <v>51</v>
          </cell>
          <cell r="E378">
            <v>22.583016000000001</v>
          </cell>
          <cell r="F378">
            <v>66.297417999999993</v>
          </cell>
        </row>
        <row r="379">
          <cell r="A379">
            <v>4</v>
          </cell>
          <cell r="B379">
            <v>4101</v>
          </cell>
          <cell r="C379">
            <v>1</v>
          </cell>
          <cell r="D379">
            <v>52</v>
          </cell>
          <cell r="E379">
            <v>10.907496</v>
          </cell>
          <cell r="F379">
            <v>26.628944000000001</v>
          </cell>
        </row>
        <row r="380">
          <cell r="A380">
            <v>4</v>
          </cell>
          <cell r="B380">
            <v>4101</v>
          </cell>
          <cell r="C380">
            <v>1</v>
          </cell>
          <cell r="D380">
            <v>591</v>
          </cell>
          <cell r="E380">
            <v>0</v>
          </cell>
          <cell r="F380">
            <v>1.29122</v>
          </cell>
        </row>
        <row r="381">
          <cell r="A381">
            <v>4</v>
          </cell>
          <cell r="B381">
            <v>4190</v>
          </cell>
          <cell r="C381">
            <v>1</v>
          </cell>
          <cell r="D381">
            <v>4</v>
          </cell>
          <cell r="E381">
            <v>-2.3146640000000001</v>
          </cell>
          <cell r="F381">
            <v>-2.3146640000000001</v>
          </cell>
        </row>
        <row r="382">
          <cell r="A382">
            <v>4</v>
          </cell>
          <cell r="B382">
            <v>4190</v>
          </cell>
          <cell r="C382">
            <v>1</v>
          </cell>
          <cell r="D382">
            <v>51</v>
          </cell>
          <cell r="E382">
            <v>0.28531899999999999</v>
          </cell>
          <cell r="F382">
            <v>0.85595699999999997</v>
          </cell>
        </row>
        <row r="383">
          <cell r="A383">
            <v>4</v>
          </cell>
          <cell r="B383">
            <v>4190</v>
          </cell>
          <cell r="C383">
            <v>1</v>
          </cell>
          <cell r="D383">
            <v>52</v>
          </cell>
          <cell r="E383">
            <v>0.95526800000000001</v>
          </cell>
          <cell r="F383">
            <v>11.904925</v>
          </cell>
        </row>
        <row r="384">
          <cell r="A384">
            <v>4</v>
          </cell>
          <cell r="B384">
            <v>4190</v>
          </cell>
          <cell r="C384">
            <v>1</v>
          </cell>
          <cell r="D384">
            <v>591</v>
          </cell>
          <cell r="E384">
            <v>55.18817</v>
          </cell>
          <cell r="F384">
            <v>140.77752000000001</v>
          </cell>
        </row>
        <row r="385">
          <cell r="A385">
            <v>4</v>
          </cell>
          <cell r="B385">
            <v>4215</v>
          </cell>
          <cell r="C385">
            <v>1</v>
          </cell>
          <cell r="D385">
            <v>4</v>
          </cell>
          <cell r="E385">
            <v>-0.634328</v>
          </cell>
          <cell r="F385">
            <v>-6.9257160000000004</v>
          </cell>
        </row>
        <row r="386">
          <cell r="A386">
            <v>4</v>
          </cell>
          <cell r="B386">
            <v>4215</v>
          </cell>
          <cell r="C386">
            <v>1</v>
          </cell>
          <cell r="D386">
            <v>51</v>
          </cell>
          <cell r="E386">
            <v>48.198445</v>
          </cell>
          <cell r="F386">
            <v>141.38904099999999</v>
          </cell>
        </row>
        <row r="387">
          <cell r="A387">
            <v>4</v>
          </cell>
          <cell r="B387">
            <v>4215</v>
          </cell>
          <cell r="C387">
            <v>1</v>
          </cell>
          <cell r="D387">
            <v>52</v>
          </cell>
          <cell r="E387">
            <v>12.293453</v>
          </cell>
          <cell r="F387">
            <v>38.794342999999998</v>
          </cell>
        </row>
        <row r="388">
          <cell r="A388">
            <v>4</v>
          </cell>
          <cell r="B388">
            <v>4217</v>
          </cell>
          <cell r="C388">
            <v>1</v>
          </cell>
          <cell r="D388">
            <v>51</v>
          </cell>
          <cell r="E388">
            <v>0.80011500000000002</v>
          </cell>
          <cell r="F388">
            <v>2.7408890000000001</v>
          </cell>
        </row>
        <row r="389">
          <cell r="A389">
            <v>4</v>
          </cell>
          <cell r="B389">
            <v>4217</v>
          </cell>
          <cell r="C389">
            <v>1</v>
          </cell>
          <cell r="D389">
            <v>52</v>
          </cell>
          <cell r="E389">
            <v>0.39142500000000002</v>
          </cell>
          <cell r="F389">
            <v>0.819936</v>
          </cell>
        </row>
        <row r="390">
          <cell r="A390">
            <v>4</v>
          </cell>
          <cell r="B390">
            <v>4234</v>
          </cell>
          <cell r="C390">
            <v>1</v>
          </cell>
          <cell r="D390">
            <v>4</v>
          </cell>
          <cell r="E390">
            <v>-0.179977</v>
          </cell>
          <cell r="F390">
            <v>-3.5601980000000002</v>
          </cell>
        </row>
        <row r="391">
          <cell r="A391">
            <v>4</v>
          </cell>
          <cell r="B391">
            <v>4234</v>
          </cell>
          <cell r="C391">
            <v>1</v>
          </cell>
          <cell r="D391">
            <v>51</v>
          </cell>
          <cell r="E391">
            <v>48.328612999999997</v>
          </cell>
          <cell r="F391">
            <v>148.512359</v>
          </cell>
        </row>
        <row r="392">
          <cell r="A392">
            <v>4</v>
          </cell>
          <cell r="B392">
            <v>4234</v>
          </cell>
          <cell r="C392">
            <v>1</v>
          </cell>
          <cell r="D392">
            <v>52</v>
          </cell>
          <cell r="E392">
            <v>27.173650000000002</v>
          </cell>
          <cell r="F392">
            <v>72.733445000000003</v>
          </cell>
        </row>
        <row r="393">
          <cell r="A393">
            <v>4</v>
          </cell>
          <cell r="B393">
            <v>4234</v>
          </cell>
          <cell r="C393">
            <v>1</v>
          </cell>
          <cell r="D393">
            <v>591</v>
          </cell>
          <cell r="E393">
            <v>0.40699999999999997</v>
          </cell>
          <cell r="F393">
            <v>0.40699999999999997</v>
          </cell>
        </row>
        <row r="394">
          <cell r="A394">
            <v>4</v>
          </cell>
          <cell r="B394">
            <v>4331</v>
          </cell>
          <cell r="C394">
            <v>1</v>
          </cell>
          <cell r="D394">
            <v>4</v>
          </cell>
          <cell r="E394">
            <v>0</v>
          </cell>
          <cell r="F394">
            <v>-5.1149999999999998E-3</v>
          </cell>
        </row>
        <row r="395">
          <cell r="A395">
            <v>4</v>
          </cell>
          <cell r="B395">
            <v>4331</v>
          </cell>
          <cell r="C395">
            <v>1</v>
          </cell>
          <cell r="D395">
            <v>51</v>
          </cell>
          <cell r="E395">
            <v>2.472302</v>
          </cell>
          <cell r="F395">
            <v>7.2065239999999999</v>
          </cell>
        </row>
        <row r="396">
          <cell r="A396">
            <v>4</v>
          </cell>
          <cell r="B396">
            <v>4331</v>
          </cell>
          <cell r="C396">
            <v>1</v>
          </cell>
          <cell r="D396">
            <v>52</v>
          </cell>
          <cell r="E396">
            <v>1.5638190000000001</v>
          </cell>
          <cell r="F396">
            <v>4.2674269999999996</v>
          </cell>
        </row>
        <row r="397">
          <cell r="A397">
            <v>4</v>
          </cell>
          <cell r="B397">
            <v>4331</v>
          </cell>
          <cell r="C397">
            <v>1</v>
          </cell>
          <cell r="D397">
            <v>591</v>
          </cell>
          <cell r="E397">
            <v>1.2961199999999999</v>
          </cell>
          <cell r="F397">
            <v>1.799177</v>
          </cell>
        </row>
        <row r="398">
          <cell r="A398">
            <v>4</v>
          </cell>
          <cell r="B398">
            <v>4332</v>
          </cell>
          <cell r="C398">
            <v>1</v>
          </cell>
          <cell r="D398">
            <v>51</v>
          </cell>
          <cell r="E398">
            <v>2.4214799999999999</v>
          </cell>
          <cell r="F398">
            <v>7.3352599999999999</v>
          </cell>
        </row>
        <row r="399">
          <cell r="A399">
            <v>4</v>
          </cell>
          <cell r="B399">
            <v>4332</v>
          </cell>
          <cell r="C399">
            <v>1</v>
          </cell>
          <cell r="D399">
            <v>52</v>
          </cell>
          <cell r="E399">
            <v>2.4704E-2</v>
          </cell>
          <cell r="F399">
            <v>0.73728499999999997</v>
          </cell>
        </row>
        <row r="400">
          <cell r="A400">
            <v>4</v>
          </cell>
          <cell r="B400">
            <v>4334</v>
          </cell>
          <cell r="C400">
            <v>1</v>
          </cell>
          <cell r="D400">
            <v>51</v>
          </cell>
          <cell r="E400">
            <v>1.3011619999999999</v>
          </cell>
          <cell r="F400">
            <v>3.9033180000000001</v>
          </cell>
        </row>
        <row r="401">
          <cell r="A401">
            <v>4</v>
          </cell>
          <cell r="B401">
            <v>4334</v>
          </cell>
          <cell r="C401">
            <v>1</v>
          </cell>
          <cell r="D401">
            <v>52</v>
          </cell>
          <cell r="E401">
            <v>0.48261799999999999</v>
          </cell>
          <cell r="F401">
            <v>1.1892750000000001</v>
          </cell>
        </row>
        <row r="402">
          <cell r="A402">
            <v>4</v>
          </cell>
          <cell r="B402">
            <v>4334</v>
          </cell>
          <cell r="C402">
            <v>1</v>
          </cell>
          <cell r="D402">
            <v>591</v>
          </cell>
          <cell r="E402">
            <v>0.495612</v>
          </cell>
          <cell r="F402">
            <v>0.495612</v>
          </cell>
        </row>
        <row r="403">
          <cell r="A403">
            <v>4</v>
          </cell>
          <cell r="B403">
            <v>4335</v>
          </cell>
          <cell r="C403">
            <v>1</v>
          </cell>
          <cell r="D403">
            <v>4</v>
          </cell>
          <cell r="E403">
            <v>-0.01</v>
          </cell>
          <cell r="F403">
            <v>-0.03</v>
          </cell>
        </row>
        <row r="404">
          <cell r="A404">
            <v>4</v>
          </cell>
          <cell r="B404">
            <v>4335</v>
          </cell>
          <cell r="C404">
            <v>1</v>
          </cell>
          <cell r="D404">
            <v>51</v>
          </cell>
          <cell r="E404">
            <v>1.391227</v>
          </cell>
          <cell r="F404">
            <v>4.1541550000000003</v>
          </cell>
        </row>
        <row r="405">
          <cell r="A405">
            <v>4</v>
          </cell>
          <cell r="B405">
            <v>4335</v>
          </cell>
          <cell r="C405">
            <v>1</v>
          </cell>
          <cell r="D405">
            <v>52</v>
          </cell>
          <cell r="E405">
            <v>0.95963799999999999</v>
          </cell>
          <cell r="F405">
            <v>1.392781</v>
          </cell>
        </row>
        <row r="406">
          <cell r="A406">
            <v>4</v>
          </cell>
          <cell r="B406">
            <v>4335</v>
          </cell>
          <cell r="C406">
            <v>1</v>
          </cell>
          <cell r="D406">
            <v>591</v>
          </cell>
          <cell r="E406">
            <v>0</v>
          </cell>
          <cell r="F406">
            <v>1.4999999999999999E-2</v>
          </cell>
        </row>
        <row r="407">
          <cell r="A407">
            <v>4</v>
          </cell>
          <cell r="B407">
            <v>4336</v>
          </cell>
          <cell r="C407">
            <v>1</v>
          </cell>
          <cell r="D407">
            <v>4</v>
          </cell>
          <cell r="E407">
            <v>0</v>
          </cell>
          <cell r="F407">
            <v>-0.1</v>
          </cell>
        </row>
        <row r="408">
          <cell r="A408">
            <v>4</v>
          </cell>
          <cell r="B408">
            <v>4336</v>
          </cell>
          <cell r="C408">
            <v>1</v>
          </cell>
          <cell r="D408">
            <v>51</v>
          </cell>
          <cell r="E408">
            <v>1.2729159999999999</v>
          </cell>
          <cell r="F408">
            <v>4.5819210000000004</v>
          </cell>
        </row>
        <row r="409">
          <cell r="A409">
            <v>4</v>
          </cell>
          <cell r="B409">
            <v>4336</v>
          </cell>
          <cell r="C409">
            <v>1</v>
          </cell>
          <cell r="D409">
            <v>52</v>
          </cell>
          <cell r="E409">
            <v>0.54451700000000003</v>
          </cell>
          <cell r="F409">
            <v>0.96203000000000005</v>
          </cell>
        </row>
        <row r="410">
          <cell r="A410">
            <v>4</v>
          </cell>
          <cell r="B410">
            <v>4401</v>
          </cell>
          <cell r="C410">
            <v>1</v>
          </cell>
          <cell r="D410">
            <v>4</v>
          </cell>
          <cell r="E410">
            <v>-19.668247000000001</v>
          </cell>
          <cell r="F410">
            <v>-85.026484999999994</v>
          </cell>
        </row>
        <row r="411">
          <cell r="A411">
            <v>4</v>
          </cell>
          <cell r="B411">
            <v>4401</v>
          </cell>
          <cell r="C411">
            <v>1</v>
          </cell>
          <cell r="D411">
            <v>51</v>
          </cell>
          <cell r="E411">
            <v>103.911275</v>
          </cell>
          <cell r="F411">
            <v>276.06662399999999</v>
          </cell>
        </row>
        <row r="412">
          <cell r="A412">
            <v>4</v>
          </cell>
          <cell r="B412">
            <v>4401</v>
          </cell>
          <cell r="C412">
            <v>1</v>
          </cell>
          <cell r="D412">
            <v>52</v>
          </cell>
          <cell r="E412">
            <v>149.16021000000001</v>
          </cell>
          <cell r="F412">
            <v>246.16905299999999</v>
          </cell>
        </row>
        <row r="413">
          <cell r="A413">
            <v>4</v>
          </cell>
          <cell r="B413">
            <v>4401</v>
          </cell>
          <cell r="C413">
            <v>1</v>
          </cell>
          <cell r="D413">
            <v>591</v>
          </cell>
          <cell r="E413">
            <v>3.0389539999999999</v>
          </cell>
          <cell r="F413">
            <v>8.3775539999999999</v>
          </cell>
        </row>
        <row r="414">
          <cell r="A414">
            <v>4</v>
          </cell>
          <cell r="B414">
            <v>4405</v>
          </cell>
          <cell r="C414">
            <v>1</v>
          </cell>
          <cell r="D414">
            <v>4</v>
          </cell>
          <cell r="E414">
            <v>-3.4969999999999999</v>
          </cell>
          <cell r="F414">
            <v>-5.6402760000000001</v>
          </cell>
        </row>
        <row r="415">
          <cell r="A415">
            <v>4</v>
          </cell>
          <cell r="B415">
            <v>4405</v>
          </cell>
          <cell r="C415">
            <v>1</v>
          </cell>
          <cell r="D415">
            <v>51</v>
          </cell>
          <cell r="E415">
            <v>11.912515000000001</v>
          </cell>
          <cell r="F415">
            <v>34.412536000000003</v>
          </cell>
        </row>
        <row r="416">
          <cell r="A416">
            <v>4</v>
          </cell>
          <cell r="B416">
            <v>4405</v>
          </cell>
          <cell r="C416">
            <v>1</v>
          </cell>
          <cell r="D416">
            <v>52</v>
          </cell>
          <cell r="E416">
            <v>4.9748540000000006</v>
          </cell>
          <cell r="F416">
            <v>9.7406499999999987</v>
          </cell>
        </row>
        <row r="417">
          <cell r="A417">
            <v>4</v>
          </cell>
          <cell r="B417">
            <v>4411</v>
          </cell>
          <cell r="C417">
            <v>1</v>
          </cell>
          <cell r="D417">
            <v>52</v>
          </cell>
          <cell r="E417">
            <v>38.582273000000001</v>
          </cell>
          <cell r="F417">
            <v>144.25119699999999</v>
          </cell>
        </row>
        <row r="418">
          <cell r="A418">
            <v>4</v>
          </cell>
          <cell r="B418">
            <v>4413</v>
          </cell>
          <cell r="C418">
            <v>1</v>
          </cell>
          <cell r="D418">
            <v>4</v>
          </cell>
          <cell r="E418">
            <v>-99.121739000000005</v>
          </cell>
          <cell r="F418">
            <v>-169.99401599999999</v>
          </cell>
        </row>
        <row r="419">
          <cell r="A419">
            <v>4</v>
          </cell>
          <cell r="B419">
            <v>4413</v>
          </cell>
          <cell r="C419">
            <v>1</v>
          </cell>
          <cell r="D419">
            <v>51</v>
          </cell>
          <cell r="E419">
            <v>0</v>
          </cell>
          <cell r="F419">
            <v>0.220883</v>
          </cell>
        </row>
        <row r="420">
          <cell r="A420">
            <v>4</v>
          </cell>
          <cell r="B420">
            <v>4413</v>
          </cell>
          <cell r="C420">
            <v>1</v>
          </cell>
          <cell r="D420">
            <v>52</v>
          </cell>
          <cell r="E420">
            <v>1.091E-2</v>
          </cell>
          <cell r="F420">
            <v>9.7729999999999997E-2</v>
          </cell>
        </row>
        <row r="421">
          <cell r="A421">
            <v>4</v>
          </cell>
          <cell r="B421">
            <v>4413</v>
          </cell>
          <cell r="C421">
            <v>1</v>
          </cell>
          <cell r="D421">
            <v>591</v>
          </cell>
          <cell r="E421">
            <v>0</v>
          </cell>
          <cell r="F421">
            <v>13.53</v>
          </cell>
        </row>
        <row r="422">
          <cell r="A422">
            <v>4</v>
          </cell>
          <cell r="B422">
            <v>4417</v>
          </cell>
          <cell r="C422">
            <v>1</v>
          </cell>
          <cell r="D422">
            <v>52</v>
          </cell>
          <cell r="E422">
            <v>0.48098000000000002</v>
          </cell>
          <cell r="F422">
            <v>2.7960029999999998</v>
          </cell>
        </row>
        <row r="423">
          <cell r="A423">
            <v>4</v>
          </cell>
          <cell r="B423">
            <v>4417</v>
          </cell>
          <cell r="C423">
            <v>1</v>
          </cell>
          <cell r="D423">
            <v>591</v>
          </cell>
          <cell r="E423">
            <v>0</v>
          </cell>
          <cell r="F423">
            <v>10.1</v>
          </cell>
        </row>
        <row r="424">
          <cell r="A424">
            <v>4</v>
          </cell>
          <cell r="B424">
            <v>4421</v>
          </cell>
          <cell r="C424">
            <v>1</v>
          </cell>
          <cell r="D424">
            <v>4</v>
          </cell>
          <cell r="E424">
            <v>-3.2369500000000002</v>
          </cell>
          <cell r="F424">
            <v>-9.6219389999999994</v>
          </cell>
        </row>
        <row r="425">
          <cell r="A425">
            <v>4</v>
          </cell>
          <cell r="B425">
            <v>4421</v>
          </cell>
          <cell r="C425">
            <v>1</v>
          </cell>
          <cell r="D425">
            <v>51</v>
          </cell>
          <cell r="E425">
            <v>1.2753319999999999</v>
          </cell>
          <cell r="F425">
            <v>3.9345910000000002</v>
          </cell>
        </row>
        <row r="426">
          <cell r="A426">
            <v>4</v>
          </cell>
          <cell r="B426">
            <v>4421</v>
          </cell>
          <cell r="C426">
            <v>1</v>
          </cell>
          <cell r="D426">
            <v>52</v>
          </cell>
          <cell r="E426">
            <v>3.525579</v>
          </cell>
          <cell r="F426">
            <v>7.3224030000000004</v>
          </cell>
        </row>
        <row r="427">
          <cell r="A427">
            <v>4</v>
          </cell>
          <cell r="B427">
            <v>4423</v>
          </cell>
          <cell r="C427">
            <v>1</v>
          </cell>
          <cell r="D427">
            <v>4</v>
          </cell>
          <cell r="E427">
            <v>-0.981873</v>
          </cell>
          <cell r="F427">
            <v>-6.2366080000000004</v>
          </cell>
        </row>
        <row r="428">
          <cell r="A428">
            <v>4</v>
          </cell>
          <cell r="B428">
            <v>4423</v>
          </cell>
          <cell r="C428">
            <v>1</v>
          </cell>
          <cell r="D428">
            <v>51</v>
          </cell>
          <cell r="E428">
            <v>3.8965879999999999</v>
          </cell>
          <cell r="F428">
            <v>11.672222</v>
          </cell>
        </row>
        <row r="429">
          <cell r="A429">
            <v>4</v>
          </cell>
          <cell r="B429">
            <v>4423</v>
          </cell>
          <cell r="C429">
            <v>1</v>
          </cell>
          <cell r="D429">
            <v>52</v>
          </cell>
          <cell r="E429">
            <v>2.466215</v>
          </cell>
          <cell r="F429">
            <v>6.3973240000000002</v>
          </cell>
        </row>
        <row r="430">
          <cell r="A430">
            <v>4</v>
          </cell>
          <cell r="B430">
            <v>4483</v>
          </cell>
          <cell r="C430">
            <v>1</v>
          </cell>
          <cell r="D430">
            <v>591</v>
          </cell>
          <cell r="E430">
            <v>7</v>
          </cell>
          <cell r="F430">
            <v>11.9</v>
          </cell>
        </row>
        <row r="431">
          <cell r="A431">
            <v>4</v>
          </cell>
          <cell r="B431">
            <v>4487</v>
          </cell>
          <cell r="C431">
            <v>1</v>
          </cell>
          <cell r="D431">
            <v>51</v>
          </cell>
          <cell r="E431">
            <v>1.316195</v>
          </cell>
          <cell r="F431">
            <v>3.948585</v>
          </cell>
        </row>
        <row r="432">
          <cell r="A432">
            <v>4</v>
          </cell>
          <cell r="B432">
            <v>4487</v>
          </cell>
          <cell r="C432">
            <v>1</v>
          </cell>
          <cell r="D432">
            <v>52</v>
          </cell>
          <cell r="E432">
            <v>0.65185700000000002</v>
          </cell>
          <cell r="F432">
            <v>1.558236</v>
          </cell>
        </row>
        <row r="433">
          <cell r="A433">
            <v>4</v>
          </cell>
          <cell r="B433">
            <v>4801</v>
          </cell>
          <cell r="C433">
            <v>1</v>
          </cell>
          <cell r="D433">
            <v>591</v>
          </cell>
          <cell r="E433">
            <v>450.81543099999999</v>
          </cell>
          <cell r="F433">
            <v>1509.1164240000001</v>
          </cell>
        </row>
        <row r="434">
          <cell r="A434">
            <v>4</v>
          </cell>
          <cell r="B434">
            <v>4805</v>
          </cell>
          <cell r="C434">
            <v>1</v>
          </cell>
          <cell r="D434">
            <v>591</v>
          </cell>
          <cell r="E434">
            <v>655.33991500000002</v>
          </cell>
          <cell r="F434">
            <v>1346.829745</v>
          </cell>
        </row>
        <row r="435">
          <cell r="A435">
            <v>4</v>
          </cell>
          <cell r="B435">
            <v>4807</v>
          </cell>
          <cell r="C435">
            <v>1</v>
          </cell>
          <cell r="D435">
            <v>591</v>
          </cell>
          <cell r="E435">
            <v>16.694519</v>
          </cell>
          <cell r="F435">
            <v>48.152855000000002</v>
          </cell>
        </row>
        <row r="436">
          <cell r="A436">
            <v>4</v>
          </cell>
          <cell r="B436">
            <v>4811</v>
          </cell>
          <cell r="C436">
            <v>1</v>
          </cell>
          <cell r="D436">
            <v>591</v>
          </cell>
          <cell r="E436">
            <v>46.383333</v>
          </cell>
          <cell r="F436">
            <v>139.14999900000001</v>
          </cell>
        </row>
        <row r="437">
          <cell r="A437">
            <v>4</v>
          </cell>
          <cell r="B437">
            <v>4818</v>
          </cell>
          <cell r="C437">
            <v>1</v>
          </cell>
          <cell r="D437">
            <v>591</v>
          </cell>
          <cell r="E437">
            <v>0.70122200000000001</v>
          </cell>
          <cell r="F437">
            <v>23.257282</v>
          </cell>
        </row>
        <row r="438">
          <cell r="A438">
            <v>4</v>
          </cell>
          <cell r="B438">
            <v>4821</v>
          </cell>
          <cell r="C438">
            <v>1</v>
          </cell>
          <cell r="D438">
            <v>51</v>
          </cell>
          <cell r="E438">
            <v>1.402404</v>
          </cell>
          <cell r="F438">
            <v>4.0904689999999997</v>
          </cell>
        </row>
        <row r="439">
          <cell r="A439">
            <v>4</v>
          </cell>
          <cell r="B439">
            <v>4821</v>
          </cell>
          <cell r="C439">
            <v>1</v>
          </cell>
          <cell r="D439">
            <v>52</v>
          </cell>
          <cell r="E439">
            <v>0.47751100000000002</v>
          </cell>
          <cell r="F439">
            <v>0.884741</v>
          </cell>
        </row>
        <row r="440">
          <cell r="A440">
            <v>4</v>
          </cell>
          <cell r="B440">
            <v>4821</v>
          </cell>
          <cell r="C440">
            <v>1</v>
          </cell>
          <cell r="D440">
            <v>591</v>
          </cell>
          <cell r="E440">
            <v>54.465000000000003</v>
          </cell>
          <cell r="F440">
            <v>72.974999999999994</v>
          </cell>
        </row>
        <row r="441">
          <cell r="A441">
            <v>4</v>
          </cell>
          <cell r="B441">
            <v>4827</v>
          </cell>
          <cell r="C441">
            <v>1</v>
          </cell>
          <cell r="D441">
            <v>591</v>
          </cell>
          <cell r="E441">
            <v>98.029307000000003</v>
          </cell>
          <cell r="F441">
            <v>330.46386999999999</v>
          </cell>
        </row>
        <row r="442">
          <cell r="A442">
            <v>4</v>
          </cell>
          <cell r="B442">
            <v>4831</v>
          </cell>
          <cell r="C442">
            <v>6</v>
          </cell>
          <cell r="D442">
            <v>4</v>
          </cell>
          <cell r="E442">
            <v>-0.58416699999999999</v>
          </cell>
          <cell r="F442">
            <v>-0.99616700000000002</v>
          </cell>
        </row>
        <row r="443">
          <cell r="A443">
            <v>4</v>
          </cell>
          <cell r="B443">
            <v>4831</v>
          </cell>
          <cell r="C443">
            <v>6</v>
          </cell>
          <cell r="D443">
            <v>51</v>
          </cell>
          <cell r="E443">
            <v>3.773326</v>
          </cell>
          <cell r="F443">
            <v>10.732006999999999</v>
          </cell>
        </row>
        <row r="444">
          <cell r="A444">
            <v>4</v>
          </cell>
          <cell r="B444">
            <v>4831</v>
          </cell>
          <cell r="C444">
            <v>6</v>
          </cell>
          <cell r="D444">
            <v>52</v>
          </cell>
          <cell r="E444">
            <v>2.5471119999999998</v>
          </cell>
          <cell r="F444">
            <v>5.1378890000000004</v>
          </cell>
        </row>
        <row r="445">
          <cell r="A445">
            <v>4</v>
          </cell>
          <cell r="B445">
            <v>4851</v>
          </cell>
          <cell r="C445">
            <v>1</v>
          </cell>
          <cell r="D445">
            <v>52</v>
          </cell>
          <cell r="E445">
            <v>0</v>
          </cell>
          <cell r="F445">
            <v>0.381249</v>
          </cell>
        </row>
        <row r="446">
          <cell r="A446">
            <v>4</v>
          </cell>
          <cell r="B446">
            <v>4851</v>
          </cell>
          <cell r="C446">
            <v>1</v>
          </cell>
          <cell r="D446">
            <v>591</v>
          </cell>
          <cell r="E446">
            <v>0</v>
          </cell>
          <cell r="F446">
            <v>15.990907</v>
          </cell>
        </row>
        <row r="447">
          <cell r="A447">
            <v>4</v>
          </cell>
          <cell r="B447">
            <v>4853</v>
          </cell>
          <cell r="C447">
            <v>1</v>
          </cell>
          <cell r="D447">
            <v>591</v>
          </cell>
          <cell r="E447">
            <v>0.83</v>
          </cell>
          <cell r="F447">
            <v>2.4900000000000002</v>
          </cell>
        </row>
        <row r="448">
          <cell r="A448">
            <v>4</v>
          </cell>
          <cell r="B448">
            <v>4891</v>
          </cell>
          <cell r="C448">
            <v>1</v>
          </cell>
          <cell r="D448">
            <v>591</v>
          </cell>
          <cell r="E448">
            <v>1</v>
          </cell>
          <cell r="F448">
            <v>1</v>
          </cell>
        </row>
        <row r="449">
          <cell r="A449">
            <v>4</v>
          </cell>
          <cell r="B449">
            <v>4891</v>
          </cell>
          <cell r="C449">
            <v>6</v>
          </cell>
          <cell r="D449">
            <v>591</v>
          </cell>
          <cell r="E449">
            <v>5</v>
          </cell>
          <cell r="F449">
            <v>15</v>
          </cell>
        </row>
        <row r="450">
          <cell r="A450">
            <v>6</v>
          </cell>
          <cell r="B450">
            <v>6101</v>
          </cell>
          <cell r="C450">
            <v>1</v>
          </cell>
          <cell r="D450">
            <v>4</v>
          </cell>
          <cell r="E450">
            <v>0</v>
          </cell>
          <cell r="F450">
            <v>-3.0458099999999999</v>
          </cell>
        </row>
        <row r="451">
          <cell r="A451">
            <v>6</v>
          </cell>
          <cell r="B451">
            <v>6101</v>
          </cell>
          <cell r="C451">
            <v>1</v>
          </cell>
          <cell r="D451">
            <v>51</v>
          </cell>
          <cell r="E451">
            <v>24.431540999999999</v>
          </cell>
          <cell r="F451">
            <v>67.806117</v>
          </cell>
        </row>
        <row r="452">
          <cell r="A452">
            <v>6</v>
          </cell>
          <cell r="B452">
            <v>6101</v>
          </cell>
          <cell r="C452">
            <v>1</v>
          </cell>
          <cell r="D452">
            <v>52</v>
          </cell>
          <cell r="E452">
            <v>10.241591999999999</v>
          </cell>
          <cell r="F452">
            <v>29.071860000000001</v>
          </cell>
        </row>
        <row r="453">
          <cell r="A453">
            <v>6</v>
          </cell>
          <cell r="B453">
            <v>6101</v>
          </cell>
          <cell r="C453">
            <v>1</v>
          </cell>
          <cell r="D453">
            <v>591</v>
          </cell>
          <cell r="E453">
            <v>4.265E-2</v>
          </cell>
          <cell r="F453">
            <v>5.9650000000000002E-2</v>
          </cell>
        </row>
        <row r="454">
          <cell r="A454">
            <v>6</v>
          </cell>
          <cell r="B454">
            <v>6102</v>
          </cell>
          <cell r="C454">
            <v>1</v>
          </cell>
          <cell r="D454">
            <v>4</v>
          </cell>
          <cell r="E454">
            <v>0</v>
          </cell>
          <cell r="F454">
            <v>-0.28000000000000003</v>
          </cell>
        </row>
        <row r="455">
          <cell r="A455">
            <v>6</v>
          </cell>
          <cell r="B455">
            <v>6102</v>
          </cell>
          <cell r="C455">
            <v>1</v>
          </cell>
          <cell r="D455">
            <v>51</v>
          </cell>
          <cell r="E455">
            <v>1.268588</v>
          </cell>
          <cell r="F455">
            <v>3.731271</v>
          </cell>
        </row>
        <row r="456">
          <cell r="A456">
            <v>6</v>
          </cell>
          <cell r="B456">
            <v>6102</v>
          </cell>
          <cell r="C456">
            <v>1</v>
          </cell>
          <cell r="D456">
            <v>52</v>
          </cell>
          <cell r="E456">
            <v>0.41240599999999999</v>
          </cell>
          <cell r="F456">
            <v>2.4978929999999999</v>
          </cell>
        </row>
        <row r="457">
          <cell r="A457">
            <v>6</v>
          </cell>
          <cell r="B457">
            <v>6111</v>
          </cell>
          <cell r="C457">
            <v>1</v>
          </cell>
          <cell r="D457">
            <v>51</v>
          </cell>
          <cell r="E457">
            <v>23.143637999999999</v>
          </cell>
          <cell r="F457">
            <v>23.270790000000002</v>
          </cell>
        </row>
        <row r="458">
          <cell r="A458">
            <v>6</v>
          </cell>
          <cell r="B458">
            <v>6111</v>
          </cell>
          <cell r="C458">
            <v>1</v>
          </cell>
          <cell r="D458">
            <v>52</v>
          </cell>
          <cell r="E458">
            <v>11.145030999999999</v>
          </cell>
          <cell r="F458">
            <v>22.547329000000001</v>
          </cell>
        </row>
        <row r="459">
          <cell r="A459">
            <v>6</v>
          </cell>
          <cell r="B459">
            <v>6111</v>
          </cell>
          <cell r="C459">
            <v>1</v>
          </cell>
          <cell r="D459">
            <v>591</v>
          </cell>
          <cell r="E459">
            <v>132.31570199999999</v>
          </cell>
          <cell r="F459">
            <v>133.587422</v>
          </cell>
        </row>
        <row r="460">
          <cell r="A460">
            <v>6</v>
          </cell>
          <cell r="B460">
            <v>6190</v>
          </cell>
          <cell r="C460">
            <v>1</v>
          </cell>
          <cell r="D460">
            <v>4</v>
          </cell>
          <cell r="E460">
            <v>-1.4750000000000001</v>
          </cell>
          <cell r="F460">
            <v>-2.771217</v>
          </cell>
        </row>
        <row r="461">
          <cell r="A461">
            <v>6</v>
          </cell>
          <cell r="B461">
            <v>6190</v>
          </cell>
          <cell r="C461">
            <v>1</v>
          </cell>
          <cell r="D461">
            <v>51</v>
          </cell>
          <cell r="E461">
            <v>2.2506059999999999</v>
          </cell>
          <cell r="F461">
            <v>7.0914599999999997</v>
          </cell>
        </row>
        <row r="462">
          <cell r="A462">
            <v>6</v>
          </cell>
          <cell r="B462">
            <v>6190</v>
          </cell>
          <cell r="C462">
            <v>1</v>
          </cell>
          <cell r="D462">
            <v>52</v>
          </cell>
          <cell r="E462">
            <v>5.3040099999999999</v>
          </cell>
          <cell r="F462">
            <v>19.258347000000001</v>
          </cell>
        </row>
        <row r="463">
          <cell r="A463">
            <v>6</v>
          </cell>
          <cell r="B463">
            <v>6190</v>
          </cell>
          <cell r="C463">
            <v>1</v>
          </cell>
          <cell r="D463">
            <v>591</v>
          </cell>
          <cell r="E463">
            <v>9.32</v>
          </cell>
          <cell r="F463">
            <v>23.572023000000002</v>
          </cell>
        </row>
        <row r="464">
          <cell r="A464">
            <v>6</v>
          </cell>
          <cell r="B464">
            <v>6201</v>
          </cell>
          <cell r="C464">
            <v>1</v>
          </cell>
          <cell r="D464">
            <v>4</v>
          </cell>
          <cell r="E464">
            <v>-3.4667999999999997E-2</v>
          </cell>
          <cell r="F464">
            <v>-0.212668</v>
          </cell>
        </row>
        <row r="465">
          <cell r="A465">
            <v>6</v>
          </cell>
          <cell r="B465">
            <v>6201</v>
          </cell>
          <cell r="C465">
            <v>1</v>
          </cell>
          <cell r="D465">
            <v>51</v>
          </cell>
          <cell r="E465">
            <v>5.482208</v>
          </cell>
          <cell r="F465">
            <v>16.621869</v>
          </cell>
        </row>
        <row r="466">
          <cell r="A466">
            <v>6</v>
          </cell>
          <cell r="B466">
            <v>6201</v>
          </cell>
          <cell r="C466">
            <v>1</v>
          </cell>
          <cell r="D466">
            <v>52</v>
          </cell>
          <cell r="E466">
            <v>4.2939469999999993</v>
          </cell>
          <cell r="F466">
            <v>9.0753649999999997</v>
          </cell>
        </row>
        <row r="467">
          <cell r="A467">
            <v>6</v>
          </cell>
          <cell r="B467">
            <v>6210</v>
          </cell>
          <cell r="C467">
            <v>1</v>
          </cell>
          <cell r="D467">
            <v>4</v>
          </cell>
          <cell r="E467">
            <v>-2.5399999999999999E-4</v>
          </cell>
          <cell r="F467">
            <v>-4.1223999999999997E-2</v>
          </cell>
        </row>
        <row r="468">
          <cell r="A468">
            <v>6</v>
          </cell>
          <cell r="B468">
            <v>6210</v>
          </cell>
          <cell r="C468">
            <v>1</v>
          </cell>
          <cell r="D468">
            <v>51</v>
          </cell>
          <cell r="E468">
            <v>64.284232000000003</v>
          </cell>
          <cell r="F468">
            <v>189.08381499999999</v>
          </cell>
        </row>
        <row r="469">
          <cell r="A469">
            <v>6</v>
          </cell>
          <cell r="B469">
            <v>6210</v>
          </cell>
          <cell r="C469">
            <v>1</v>
          </cell>
          <cell r="D469">
            <v>52</v>
          </cell>
          <cell r="E469">
            <v>15.595883000000001</v>
          </cell>
          <cell r="F469">
            <v>44.068154999999997</v>
          </cell>
        </row>
        <row r="470">
          <cell r="A470">
            <v>6</v>
          </cell>
          <cell r="B470">
            <v>6210</v>
          </cell>
          <cell r="C470">
            <v>1</v>
          </cell>
          <cell r="D470">
            <v>591</v>
          </cell>
          <cell r="E470">
            <v>0</v>
          </cell>
          <cell r="F470">
            <v>8.6890999999999996E-2</v>
          </cell>
        </row>
        <row r="471">
          <cell r="A471">
            <v>6</v>
          </cell>
          <cell r="B471">
            <v>6231</v>
          </cell>
          <cell r="C471">
            <v>1</v>
          </cell>
          <cell r="D471">
            <v>4</v>
          </cell>
          <cell r="E471">
            <v>-8.5636650000000003</v>
          </cell>
          <cell r="F471">
            <v>-26.763760000000001</v>
          </cell>
        </row>
        <row r="472">
          <cell r="A472">
            <v>6</v>
          </cell>
          <cell r="B472">
            <v>6231</v>
          </cell>
          <cell r="C472">
            <v>1</v>
          </cell>
          <cell r="D472">
            <v>51</v>
          </cell>
          <cell r="E472">
            <v>5.5517999999999998E-2</v>
          </cell>
          <cell r="F472">
            <v>0.15160999999999999</v>
          </cell>
        </row>
        <row r="473">
          <cell r="A473">
            <v>6</v>
          </cell>
          <cell r="B473">
            <v>6231</v>
          </cell>
          <cell r="C473">
            <v>1</v>
          </cell>
          <cell r="D473">
            <v>52</v>
          </cell>
          <cell r="E473">
            <v>57.428001999999999</v>
          </cell>
          <cell r="F473">
            <v>156.79180299999999</v>
          </cell>
        </row>
        <row r="474">
          <cell r="A474">
            <v>6</v>
          </cell>
          <cell r="B474">
            <v>6231</v>
          </cell>
          <cell r="C474">
            <v>1</v>
          </cell>
          <cell r="D474">
            <v>591</v>
          </cell>
          <cell r="E474">
            <v>0.6</v>
          </cell>
          <cell r="F474">
            <v>1.2</v>
          </cell>
        </row>
        <row r="475">
          <cell r="A475">
            <v>6</v>
          </cell>
          <cell r="B475">
            <v>6232</v>
          </cell>
          <cell r="C475">
            <v>1</v>
          </cell>
          <cell r="D475">
            <v>4</v>
          </cell>
          <cell r="E475">
            <v>-0.15198200000000001</v>
          </cell>
          <cell r="F475">
            <v>-4.7620389999999997</v>
          </cell>
        </row>
        <row r="476">
          <cell r="A476">
            <v>6</v>
          </cell>
          <cell r="B476">
            <v>6232</v>
          </cell>
          <cell r="C476">
            <v>1</v>
          </cell>
          <cell r="D476">
            <v>51</v>
          </cell>
          <cell r="E476">
            <v>1.166064</v>
          </cell>
          <cell r="F476">
            <v>3.5480960000000001</v>
          </cell>
        </row>
        <row r="477">
          <cell r="A477">
            <v>6</v>
          </cell>
          <cell r="B477">
            <v>6232</v>
          </cell>
          <cell r="C477">
            <v>1</v>
          </cell>
          <cell r="D477">
            <v>52</v>
          </cell>
          <cell r="E477">
            <v>37.636983000000001</v>
          </cell>
          <cell r="F477">
            <v>80.913726999999994</v>
          </cell>
        </row>
        <row r="478">
          <cell r="A478">
            <v>6</v>
          </cell>
          <cell r="B478">
            <v>6235</v>
          </cell>
          <cell r="C478">
            <v>1</v>
          </cell>
          <cell r="D478">
            <v>4</v>
          </cell>
          <cell r="E478">
            <v>-0.270901</v>
          </cell>
          <cell r="F478">
            <v>-0.105879</v>
          </cell>
        </row>
        <row r="479">
          <cell r="A479">
            <v>6</v>
          </cell>
          <cell r="B479">
            <v>6235</v>
          </cell>
          <cell r="C479">
            <v>1</v>
          </cell>
          <cell r="D479">
            <v>51</v>
          </cell>
          <cell r="E479">
            <v>0.41795700000000002</v>
          </cell>
          <cell r="F479">
            <v>1.253871</v>
          </cell>
        </row>
        <row r="480">
          <cell r="A480">
            <v>6</v>
          </cell>
          <cell r="B480">
            <v>6235</v>
          </cell>
          <cell r="C480">
            <v>1</v>
          </cell>
          <cell r="D480">
            <v>52</v>
          </cell>
          <cell r="E480">
            <v>1.3225929999999999</v>
          </cell>
          <cell r="F480">
            <v>3.2037960000000001</v>
          </cell>
        </row>
        <row r="481">
          <cell r="A481">
            <v>6</v>
          </cell>
          <cell r="B481">
            <v>6235</v>
          </cell>
          <cell r="C481">
            <v>1</v>
          </cell>
          <cell r="D481">
            <v>591</v>
          </cell>
          <cell r="E481">
            <v>12.314373</v>
          </cell>
          <cell r="F481">
            <v>23.899773</v>
          </cell>
        </row>
        <row r="482">
          <cell r="A482">
            <v>6</v>
          </cell>
          <cell r="B482">
            <v>6251</v>
          </cell>
          <cell r="C482">
            <v>1</v>
          </cell>
          <cell r="D482">
            <v>51</v>
          </cell>
          <cell r="E482">
            <v>4.006831</v>
          </cell>
          <cell r="F482">
            <v>11.684606</v>
          </cell>
        </row>
        <row r="483">
          <cell r="A483">
            <v>6</v>
          </cell>
          <cell r="B483">
            <v>6251</v>
          </cell>
          <cell r="C483">
            <v>1</v>
          </cell>
          <cell r="D483">
            <v>52</v>
          </cell>
          <cell r="E483">
            <v>1.1500809999999999</v>
          </cell>
          <cell r="F483">
            <v>2.8178450000000002</v>
          </cell>
        </row>
        <row r="484">
          <cell r="A484">
            <v>6</v>
          </cell>
          <cell r="B484">
            <v>6251</v>
          </cell>
          <cell r="C484">
            <v>1</v>
          </cell>
          <cell r="D484">
            <v>591</v>
          </cell>
          <cell r="E484">
            <v>0</v>
          </cell>
          <cell r="F484">
            <v>7.1999999999999995E-2</v>
          </cell>
        </row>
        <row r="485">
          <cell r="A485">
            <v>6</v>
          </cell>
          <cell r="B485">
            <v>6301</v>
          </cell>
          <cell r="C485">
            <v>1</v>
          </cell>
          <cell r="D485">
            <v>51</v>
          </cell>
          <cell r="E485">
            <v>8.0892309999999998</v>
          </cell>
          <cell r="F485">
            <v>25.506176</v>
          </cell>
        </row>
        <row r="486">
          <cell r="A486">
            <v>6</v>
          </cell>
          <cell r="B486">
            <v>6301</v>
          </cell>
          <cell r="C486">
            <v>1</v>
          </cell>
          <cell r="D486">
            <v>52</v>
          </cell>
          <cell r="E486">
            <v>2.0706500000000001</v>
          </cell>
          <cell r="F486">
            <v>6.6757520000000001</v>
          </cell>
        </row>
        <row r="487">
          <cell r="A487">
            <v>6</v>
          </cell>
          <cell r="B487">
            <v>6303</v>
          </cell>
          <cell r="C487">
            <v>1</v>
          </cell>
          <cell r="D487">
            <v>4</v>
          </cell>
          <cell r="E487">
            <v>-70.460301000000001</v>
          </cell>
          <cell r="F487">
            <v>-122.500145</v>
          </cell>
        </row>
        <row r="488">
          <cell r="A488">
            <v>6</v>
          </cell>
          <cell r="B488">
            <v>6303</v>
          </cell>
          <cell r="C488">
            <v>1</v>
          </cell>
          <cell r="D488">
            <v>51</v>
          </cell>
          <cell r="E488">
            <v>76.783451999999997</v>
          </cell>
          <cell r="F488">
            <v>236.402322</v>
          </cell>
        </row>
        <row r="489">
          <cell r="A489">
            <v>6</v>
          </cell>
          <cell r="B489">
            <v>6303</v>
          </cell>
          <cell r="C489">
            <v>1</v>
          </cell>
          <cell r="D489">
            <v>52</v>
          </cell>
          <cell r="E489">
            <v>57.380423</v>
          </cell>
          <cell r="F489">
            <v>143.531857</v>
          </cell>
        </row>
        <row r="490">
          <cell r="A490">
            <v>6</v>
          </cell>
          <cell r="B490">
            <v>6303</v>
          </cell>
          <cell r="C490">
            <v>1</v>
          </cell>
          <cell r="D490">
            <v>591</v>
          </cell>
          <cell r="E490">
            <v>0.143208</v>
          </cell>
          <cell r="F490">
            <v>0.175208</v>
          </cell>
        </row>
        <row r="491">
          <cell r="A491">
            <v>6</v>
          </cell>
          <cell r="B491">
            <v>6303</v>
          </cell>
          <cell r="C491">
            <v>6</v>
          </cell>
          <cell r="D491">
            <v>52</v>
          </cell>
          <cell r="E491">
            <v>0</v>
          </cell>
          <cell r="F491">
            <v>8.1710170000000009</v>
          </cell>
        </row>
        <row r="492">
          <cell r="A492">
            <v>6</v>
          </cell>
          <cell r="B492">
            <v>6305</v>
          </cell>
          <cell r="C492">
            <v>1</v>
          </cell>
          <cell r="D492">
            <v>4</v>
          </cell>
          <cell r="E492">
            <v>0</v>
          </cell>
          <cell r="F492">
            <v>-0.159694</v>
          </cell>
        </row>
        <row r="493">
          <cell r="A493">
            <v>6</v>
          </cell>
          <cell r="B493">
            <v>6305</v>
          </cell>
          <cell r="C493">
            <v>1</v>
          </cell>
          <cell r="D493">
            <v>51</v>
          </cell>
          <cell r="E493">
            <v>14.831167000000001</v>
          </cell>
          <cell r="F493">
            <v>43.972141999999998</v>
          </cell>
        </row>
        <row r="494">
          <cell r="A494">
            <v>6</v>
          </cell>
          <cell r="B494">
            <v>6305</v>
          </cell>
          <cell r="C494">
            <v>1</v>
          </cell>
          <cell r="D494">
            <v>52</v>
          </cell>
          <cell r="E494">
            <v>6.1883379999999999</v>
          </cell>
          <cell r="F494">
            <v>16.625353</v>
          </cell>
        </row>
        <row r="495">
          <cell r="A495">
            <v>6</v>
          </cell>
          <cell r="B495">
            <v>6309</v>
          </cell>
          <cell r="C495">
            <v>1</v>
          </cell>
          <cell r="D495">
            <v>51</v>
          </cell>
          <cell r="E495">
            <v>15.478963</v>
          </cell>
          <cell r="F495">
            <v>45.384238000000003</v>
          </cell>
        </row>
        <row r="496">
          <cell r="A496">
            <v>6</v>
          </cell>
          <cell r="B496">
            <v>6309</v>
          </cell>
          <cell r="C496">
            <v>1</v>
          </cell>
          <cell r="D496">
            <v>52</v>
          </cell>
          <cell r="E496">
            <v>5.282235</v>
          </cell>
          <cell r="F496">
            <v>17.182817</v>
          </cell>
        </row>
        <row r="497">
          <cell r="A497">
            <v>6</v>
          </cell>
          <cell r="B497">
            <v>6309</v>
          </cell>
          <cell r="C497">
            <v>1</v>
          </cell>
          <cell r="D497">
            <v>591</v>
          </cell>
          <cell r="E497">
            <v>0</v>
          </cell>
          <cell r="F497">
            <v>3.8899999999999998E-3</v>
          </cell>
        </row>
        <row r="498">
          <cell r="A498">
            <v>6</v>
          </cell>
          <cell r="B498">
            <v>6310</v>
          </cell>
          <cell r="C498">
            <v>1</v>
          </cell>
          <cell r="D498">
            <v>4</v>
          </cell>
          <cell r="E498">
            <v>-3.1277949999999999</v>
          </cell>
          <cell r="F498">
            <v>-11.367637</v>
          </cell>
        </row>
        <row r="499">
          <cell r="A499">
            <v>6</v>
          </cell>
          <cell r="B499">
            <v>6310</v>
          </cell>
          <cell r="C499">
            <v>1</v>
          </cell>
          <cell r="D499">
            <v>51</v>
          </cell>
          <cell r="E499">
            <v>204.98954900000001</v>
          </cell>
          <cell r="F499">
            <v>624.24345600000004</v>
          </cell>
        </row>
        <row r="500">
          <cell r="A500">
            <v>6</v>
          </cell>
          <cell r="B500">
            <v>6310</v>
          </cell>
          <cell r="C500">
            <v>1</v>
          </cell>
          <cell r="D500">
            <v>52</v>
          </cell>
          <cell r="E500">
            <v>59.417751000000003</v>
          </cell>
          <cell r="F500">
            <v>144.23810500000002</v>
          </cell>
        </row>
        <row r="501">
          <cell r="A501">
            <v>6</v>
          </cell>
          <cell r="B501">
            <v>6310</v>
          </cell>
          <cell r="C501">
            <v>1</v>
          </cell>
          <cell r="D501">
            <v>591</v>
          </cell>
          <cell r="E501">
            <v>0.2</v>
          </cell>
          <cell r="F501">
            <v>0.2</v>
          </cell>
        </row>
        <row r="502">
          <cell r="A502">
            <v>6</v>
          </cell>
          <cell r="B502">
            <v>6312</v>
          </cell>
          <cell r="C502">
            <v>1</v>
          </cell>
          <cell r="D502">
            <v>4</v>
          </cell>
          <cell r="E502">
            <v>-9.0631170000000001</v>
          </cell>
          <cell r="F502">
            <v>-9.7477049999999998</v>
          </cell>
        </row>
        <row r="503">
          <cell r="A503">
            <v>6</v>
          </cell>
          <cell r="B503">
            <v>6312</v>
          </cell>
          <cell r="C503">
            <v>1</v>
          </cell>
          <cell r="D503">
            <v>51</v>
          </cell>
          <cell r="E503">
            <v>61.407128999999998</v>
          </cell>
          <cell r="F503">
            <v>182.98823899999999</v>
          </cell>
        </row>
        <row r="504">
          <cell r="A504">
            <v>6</v>
          </cell>
          <cell r="B504">
            <v>6312</v>
          </cell>
          <cell r="C504">
            <v>1</v>
          </cell>
          <cell r="D504">
            <v>52</v>
          </cell>
          <cell r="E504">
            <v>17.860639000000003</v>
          </cell>
          <cell r="F504">
            <v>41.376829999999998</v>
          </cell>
        </row>
        <row r="505">
          <cell r="A505">
            <v>6</v>
          </cell>
          <cell r="B505">
            <v>6312</v>
          </cell>
          <cell r="C505">
            <v>1</v>
          </cell>
          <cell r="D505">
            <v>591</v>
          </cell>
          <cell r="E505">
            <v>6.4732999999999999E-2</v>
          </cell>
          <cell r="F505">
            <v>6.4732999999999999E-2</v>
          </cell>
        </row>
        <row r="506">
          <cell r="A506">
            <v>6</v>
          </cell>
          <cell r="B506">
            <v>6325</v>
          </cell>
          <cell r="C506">
            <v>1</v>
          </cell>
          <cell r="D506">
            <v>52</v>
          </cell>
          <cell r="E506">
            <v>23.622975</v>
          </cell>
          <cell r="F506">
            <v>70.626953</v>
          </cell>
        </row>
        <row r="507">
          <cell r="A507">
            <v>6</v>
          </cell>
          <cell r="B507">
            <v>6390</v>
          </cell>
          <cell r="C507">
            <v>1</v>
          </cell>
          <cell r="D507">
            <v>52</v>
          </cell>
          <cell r="E507">
            <v>0</v>
          </cell>
          <cell r="F507">
            <v>33.794241</v>
          </cell>
        </row>
        <row r="508">
          <cell r="A508">
            <v>6</v>
          </cell>
          <cell r="B508">
            <v>6390</v>
          </cell>
          <cell r="C508">
            <v>1</v>
          </cell>
          <cell r="D508">
            <v>591</v>
          </cell>
          <cell r="E508">
            <v>0</v>
          </cell>
          <cell r="F508">
            <v>0.75</v>
          </cell>
        </row>
        <row r="509">
          <cell r="A509">
            <v>6</v>
          </cell>
          <cell r="B509">
            <v>6395</v>
          </cell>
          <cell r="C509">
            <v>1</v>
          </cell>
          <cell r="D509">
            <v>4</v>
          </cell>
          <cell r="E509">
            <v>-11.102247</v>
          </cell>
          <cell r="F509">
            <v>-33.704379000000003</v>
          </cell>
        </row>
        <row r="510">
          <cell r="A510">
            <v>6</v>
          </cell>
          <cell r="B510">
            <v>6395</v>
          </cell>
          <cell r="C510">
            <v>1</v>
          </cell>
          <cell r="D510">
            <v>51</v>
          </cell>
          <cell r="E510">
            <v>103.040413</v>
          </cell>
          <cell r="F510">
            <v>315.35531800000001</v>
          </cell>
        </row>
        <row r="511">
          <cell r="A511">
            <v>6</v>
          </cell>
          <cell r="B511">
            <v>6395</v>
          </cell>
          <cell r="C511">
            <v>1</v>
          </cell>
          <cell r="D511">
            <v>52</v>
          </cell>
          <cell r="E511">
            <v>110.43658600000001</v>
          </cell>
          <cell r="F511">
            <v>307.380672</v>
          </cell>
        </row>
        <row r="512">
          <cell r="A512">
            <v>6</v>
          </cell>
          <cell r="B512">
            <v>6395</v>
          </cell>
          <cell r="C512">
            <v>1</v>
          </cell>
          <cell r="D512">
            <v>591</v>
          </cell>
          <cell r="E512">
            <v>0</v>
          </cell>
          <cell r="F512">
            <v>0.60499999999999998</v>
          </cell>
        </row>
        <row r="513">
          <cell r="A513">
            <v>6</v>
          </cell>
          <cell r="B513">
            <v>6395</v>
          </cell>
          <cell r="C513">
            <v>5</v>
          </cell>
          <cell r="D513">
            <v>4</v>
          </cell>
          <cell r="E513">
            <v>-5.4190000000000002E-3</v>
          </cell>
          <cell r="F513">
            <v>-5.4190000000000002E-3</v>
          </cell>
        </row>
        <row r="514">
          <cell r="A514">
            <v>6</v>
          </cell>
          <cell r="B514">
            <v>6395</v>
          </cell>
          <cell r="C514">
            <v>5</v>
          </cell>
          <cell r="D514">
            <v>52</v>
          </cell>
          <cell r="E514">
            <v>8.8342339999999986</v>
          </cell>
          <cell r="F514">
            <v>14.762212</v>
          </cell>
        </row>
        <row r="515">
          <cell r="A515">
            <v>6</v>
          </cell>
          <cell r="B515">
            <v>6395</v>
          </cell>
          <cell r="C515">
            <v>6</v>
          </cell>
          <cell r="D515">
            <v>4</v>
          </cell>
          <cell r="E515">
            <v>-1.7597999999999999E-2</v>
          </cell>
          <cell r="F515">
            <v>-1.7597999999999999E-2</v>
          </cell>
        </row>
        <row r="516">
          <cell r="A516">
            <v>6</v>
          </cell>
          <cell r="B516">
            <v>6395</v>
          </cell>
          <cell r="C516">
            <v>6</v>
          </cell>
          <cell r="D516">
            <v>52</v>
          </cell>
          <cell r="E516">
            <v>7.3112999999999997E-2</v>
          </cell>
          <cell r="F516">
            <v>8.1684000000000007E-2</v>
          </cell>
        </row>
        <row r="517">
          <cell r="A517">
            <v>6</v>
          </cell>
          <cell r="B517">
            <v>6396</v>
          </cell>
          <cell r="C517">
            <v>6</v>
          </cell>
          <cell r="D517">
            <v>4</v>
          </cell>
          <cell r="E517">
            <v>0</v>
          </cell>
          <cell r="F517">
            <v>-3.0764E-2</v>
          </cell>
        </row>
        <row r="518">
          <cell r="A518">
            <v>6</v>
          </cell>
          <cell r="B518">
            <v>6396</v>
          </cell>
          <cell r="C518">
            <v>6</v>
          </cell>
          <cell r="D518">
            <v>52</v>
          </cell>
          <cell r="E518">
            <v>10.921505</v>
          </cell>
          <cell r="F518">
            <v>859.16341499999999</v>
          </cell>
        </row>
        <row r="519">
          <cell r="A519">
            <v>6</v>
          </cell>
          <cell r="B519">
            <v>6397</v>
          </cell>
          <cell r="C519">
            <v>1</v>
          </cell>
          <cell r="D519">
            <v>52</v>
          </cell>
          <cell r="E519">
            <v>3.7133090000000002</v>
          </cell>
          <cell r="F519">
            <v>20.903548000000001</v>
          </cell>
        </row>
        <row r="520">
          <cell r="A520">
            <v>6</v>
          </cell>
          <cell r="B520">
            <v>6398</v>
          </cell>
          <cell r="C520">
            <v>1</v>
          </cell>
          <cell r="D520">
            <v>4</v>
          </cell>
          <cell r="E520">
            <v>0</v>
          </cell>
          <cell r="F520">
            <v>-0.16602700000000001</v>
          </cell>
        </row>
        <row r="521">
          <cell r="A521">
            <v>6</v>
          </cell>
          <cell r="B521">
            <v>6398</v>
          </cell>
          <cell r="C521">
            <v>1</v>
          </cell>
          <cell r="D521">
            <v>51</v>
          </cell>
          <cell r="E521">
            <v>7.7923929999999997</v>
          </cell>
          <cell r="F521">
            <v>23.808685000000001</v>
          </cell>
        </row>
        <row r="522">
          <cell r="A522">
            <v>6</v>
          </cell>
          <cell r="B522">
            <v>6398</v>
          </cell>
          <cell r="C522">
            <v>1</v>
          </cell>
          <cell r="D522">
            <v>52</v>
          </cell>
          <cell r="E522">
            <v>6.4395189999999998</v>
          </cell>
          <cell r="F522">
            <v>20.048857000000002</v>
          </cell>
        </row>
        <row r="523">
          <cell r="A523">
            <v>6</v>
          </cell>
          <cell r="B523">
            <v>6398</v>
          </cell>
          <cell r="C523">
            <v>1</v>
          </cell>
          <cell r="D523">
            <v>591</v>
          </cell>
          <cell r="E523">
            <v>1.4999999999999999E-2</v>
          </cell>
          <cell r="F523">
            <v>4.4999999999999998E-2</v>
          </cell>
        </row>
        <row r="524">
          <cell r="A524">
            <v>6</v>
          </cell>
          <cell r="B524">
            <v>6411</v>
          </cell>
          <cell r="C524">
            <v>1</v>
          </cell>
          <cell r="D524">
            <v>4</v>
          </cell>
          <cell r="E524">
            <v>-0.35095799999999999</v>
          </cell>
          <cell r="F524">
            <v>-0.70157099999999994</v>
          </cell>
        </row>
        <row r="525">
          <cell r="A525">
            <v>6</v>
          </cell>
          <cell r="B525">
            <v>6411</v>
          </cell>
          <cell r="C525">
            <v>1</v>
          </cell>
          <cell r="D525">
            <v>51</v>
          </cell>
          <cell r="E525">
            <v>19.742683</v>
          </cell>
          <cell r="F525">
            <v>59.156950000000002</v>
          </cell>
        </row>
        <row r="526">
          <cell r="A526">
            <v>6</v>
          </cell>
          <cell r="B526">
            <v>6411</v>
          </cell>
          <cell r="C526">
            <v>1</v>
          </cell>
          <cell r="D526">
            <v>52</v>
          </cell>
          <cell r="E526">
            <v>4.7779799999999994</v>
          </cell>
          <cell r="F526">
            <v>17.627317000000001</v>
          </cell>
        </row>
        <row r="527">
          <cell r="A527">
            <v>6</v>
          </cell>
          <cell r="B527">
            <v>6412</v>
          </cell>
          <cell r="C527">
            <v>1</v>
          </cell>
          <cell r="D527">
            <v>4</v>
          </cell>
          <cell r="E527">
            <v>-0.177425</v>
          </cell>
          <cell r="F527">
            <v>-0.61350499999999997</v>
          </cell>
        </row>
        <row r="528">
          <cell r="A528">
            <v>6</v>
          </cell>
          <cell r="B528">
            <v>6412</v>
          </cell>
          <cell r="C528">
            <v>1</v>
          </cell>
          <cell r="D528">
            <v>51</v>
          </cell>
          <cell r="E528">
            <v>10.804192</v>
          </cell>
          <cell r="F528">
            <v>34.002046</v>
          </cell>
        </row>
        <row r="529">
          <cell r="A529">
            <v>6</v>
          </cell>
          <cell r="B529">
            <v>6412</v>
          </cell>
          <cell r="C529">
            <v>1</v>
          </cell>
          <cell r="D529">
            <v>52</v>
          </cell>
          <cell r="E529">
            <v>1.9773529999999999</v>
          </cell>
          <cell r="F529">
            <v>6.2335000000000003</v>
          </cell>
        </row>
        <row r="530">
          <cell r="A530">
            <v>6</v>
          </cell>
          <cell r="B530">
            <v>6412</v>
          </cell>
          <cell r="C530">
            <v>1</v>
          </cell>
          <cell r="D530">
            <v>591</v>
          </cell>
          <cell r="E530">
            <v>4.0000000000000001E-3</v>
          </cell>
          <cell r="F530">
            <v>6.0000000000000001E-3</v>
          </cell>
        </row>
        <row r="531">
          <cell r="A531">
            <v>6</v>
          </cell>
          <cell r="B531">
            <v>6413</v>
          </cell>
          <cell r="C531">
            <v>1</v>
          </cell>
          <cell r="D531">
            <v>51</v>
          </cell>
          <cell r="E531">
            <v>10.504479</v>
          </cell>
          <cell r="F531">
            <v>32.397033999999998</v>
          </cell>
        </row>
        <row r="532">
          <cell r="A532">
            <v>6</v>
          </cell>
          <cell r="B532">
            <v>6413</v>
          </cell>
          <cell r="C532">
            <v>1</v>
          </cell>
          <cell r="D532">
            <v>52</v>
          </cell>
          <cell r="E532">
            <v>2.9971869999999998</v>
          </cell>
          <cell r="F532">
            <v>8.2670779999999997</v>
          </cell>
        </row>
        <row r="533">
          <cell r="A533">
            <v>6</v>
          </cell>
          <cell r="B533">
            <v>6414</v>
          </cell>
          <cell r="C533">
            <v>1</v>
          </cell>
          <cell r="D533">
            <v>4</v>
          </cell>
          <cell r="E533">
            <v>-3.1585000000000002E-2</v>
          </cell>
          <cell r="F533">
            <v>-2.1627339999999999</v>
          </cell>
        </row>
        <row r="534">
          <cell r="A534">
            <v>6</v>
          </cell>
          <cell r="B534">
            <v>6414</v>
          </cell>
          <cell r="C534">
            <v>1</v>
          </cell>
          <cell r="D534">
            <v>51</v>
          </cell>
          <cell r="E534">
            <v>11.231182</v>
          </cell>
          <cell r="F534">
            <v>35.190300999999998</v>
          </cell>
        </row>
        <row r="535">
          <cell r="A535">
            <v>6</v>
          </cell>
          <cell r="B535">
            <v>6414</v>
          </cell>
          <cell r="C535">
            <v>1</v>
          </cell>
          <cell r="D535">
            <v>52</v>
          </cell>
          <cell r="E535">
            <v>2.5317729999999998</v>
          </cell>
          <cell r="F535">
            <v>7.4851279999999996</v>
          </cell>
        </row>
        <row r="536">
          <cell r="A536">
            <v>6</v>
          </cell>
          <cell r="B536">
            <v>6415</v>
          </cell>
          <cell r="C536">
            <v>1</v>
          </cell>
          <cell r="D536">
            <v>51</v>
          </cell>
          <cell r="E536">
            <v>1.587046</v>
          </cell>
          <cell r="F536">
            <v>4.6127950000000002</v>
          </cell>
        </row>
        <row r="537">
          <cell r="A537">
            <v>6</v>
          </cell>
          <cell r="B537">
            <v>6415</v>
          </cell>
          <cell r="C537">
            <v>1</v>
          </cell>
          <cell r="D537">
            <v>52</v>
          </cell>
          <cell r="E537">
            <v>0.50138799999999994</v>
          </cell>
          <cell r="F537">
            <v>1.156182</v>
          </cell>
        </row>
        <row r="538">
          <cell r="A538">
            <v>6</v>
          </cell>
          <cell r="B538">
            <v>6416</v>
          </cell>
          <cell r="C538">
            <v>1</v>
          </cell>
          <cell r="D538">
            <v>4</v>
          </cell>
          <cell r="E538">
            <v>0</v>
          </cell>
          <cell r="F538">
            <v>-1E-3</v>
          </cell>
        </row>
        <row r="539">
          <cell r="A539">
            <v>6</v>
          </cell>
          <cell r="B539">
            <v>6416</v>
          </cell>
          <cell r="C539">
            <v>1</v>
          </cell>
          <cell r="D539">
            <v>51</v>
          </cell>
          <cell r="E539">
            <v>1.9826239999999999</v>
          </cell>
          <cell r="F539">
            <v>6.4120039999999996</v>
          </cell>
        </row>
        <row r="540">
          <cell r="A540">
            <v>6</v>
          </cell>
          <cell r="B540">
            <v>6416</v>
          </cell>
          <cell r="C540">
            <v>1</v>
          </cell>
          <cell r="D540">
            <v>52</v>
          </cell>
          <cell r="E540">
            <v>0.51995000000000002</v>
          </cell>
          <cell r="F540">
            <v>1.523002</v>
          </cell>
        </row>
        <row r="541">
          <cell r="A541">
            <v>6</v>
          </cell>
          <cell r="B541">
            <v>6417</v>
          </cell>
          <cell r="C541">
            <v>1</v>
          </cell>
          <cell r="D541">
            <v>4</v>
          </cell>
          <cell r="E541">
            <v>-0.37560500000000002</v>
          </cell>
          <cell r="F541">
            <v>-0.85171799999999998</v>
          </cell>
        </row>
        <row r="542">
          <cell r="A542">
            <v>6</v>
          </cell>
          <cell r="B542">
            <v>6417</v>
          </cell>
          <cell r="C542">
            <v>1</v>
          </cell>
          <cell r="D542">
            <v>51</v>
          </cell>
          <cell r="E542">
            <v>2.0279799999999999</v>
          </cell>
          <cell r="F542">
            <v>6.3813659999999999</v>
          </cell>
        </row>
        <row r="543">
          <cell r="A543">
            <v>6</v>
          </cell>
          <cell r="B543">
            <v>6417</v>
          </cell>
          <cell r="C543">
            <v>1</v>
          </cell>
          <cell r="D543">
            <v>52</v>
          </cell>
          <cell r="E543">
            <v>0.49406899999999998</v>
          </cell>
          <cell r="F543">
            <v>0.957009</v>
          </cell>
        </row>
        <row r="544">
          <cell r="A544">
            <v>6</v>
          </cell>
          <cell r="B544">
            <v>6417</v>
          </cell>
          <cell r="C544">
            <v>1</v>
          </cell>
          <cell r="D544">
            <v>591</v>
          </cell>
          <cell r="E544">
            <v>0</v>
          </cell>
          <cell r="F544">
            <v>6.2249999999999996E-3</v>
          </cell>
        </row>
        <row r="545">
          <cell r="A545">
            <v>6</v>
          </cell>
          <cell r="B545">
            <v>6418</v>
          </cell>
          <cell r="C545">
            <v>1</v>
          </cell>
          <cell r="D545">
            <v>4</v>
          </cell>
          <cell r="E545">
            <v>-1.7329999999999999E-3</v>
          </cell>
          <cell r="F545">
            <v>-0.35207300000000002</v>
          </cell>
        </row>
        <row r="546">
          <cell r="A546">
            <v>6</v>
          </cell>
          <cell r="B546">
            <v>6418</v>
          </cell>
          <cell r="C546">
            <v>1</v>
          </cell>
          <cell r="D546">
            <v>51</v>
          </cell>
          <cell r="E546">
            <v>18.990019</v>
          </cell>
          <cell r="F546">
            <v>60.590276000000003</v>
          </cell>
        </row>
        <row r="547">
          <cell r="A547">
            <v>6</v>
          </cell>
          <cell r="B547">
            <v>6418</v>
          </cell>
          <cell r="C547">
            <v>1</v>
          </cell>
          <cell r="D547">
            <v>52</v>
          </cell>
          <cell r="E547">
            <v>3.9124089999999998</v>
          </cell>
          <cell r="F547">
            <v>13.678464</v>
          </cell>
        </row>
        <row r="548">
          <cell r="A548">
            <v>6</v>
          </cell>
          <cell r="B548">
            <v>6418</v>
          </cell>
          <cell r="C548">
            <v>1</v>
          </cell>
          <cell r="D548">
            <v>591</v>
          </cell>
          <cell r="E548">
            <v>8.9999999999999993E-3</v>
          </cell>
          <cell r="F548">
            <v>1.2E-2</v>
          </cell>
        </row>
        <row r="549">
          <cell r="A549">
            <v>6</v>
          </cell>
          <cell r="B549">
            <v>6419</v>
          </cell>
          <cell r="C549">
            <v>1</v>
          </cell>
          <cell r="D549">
            <v>51</v>
          </cell>
          <cell r="E549">
            <v>1.8529899999999999</v>
          </cell>
          <cell r="F549">
            <v>5.5418839999999996</v>
          </cell>
        </row>
        <row r="550">
          <cell r="A550">
            <v>6</v>
          </cell>
          <cell r="B550">
            <v>6419</v>
          </cell>
          <cell r="C550">
            <v>1</v>
          </cell>
          <cell r="D550">
            <v>52</v>
          </cell>
          <cell r="E550">
            <v>0.32451400000000002</v>
          </cell>
          <cell r="F550">
            <v>0.90981400000000001</v>
          </cell>
        </row>
        <row r="551">
          <cell r="A551">
            <v>6</v>
          </cell>
          <cell r="B551">
            <v>6420</v>
          </cell>
          <cell r="C551">
            <v>1</v>
          </cell>
          <cell r="D551">
            <v>4</v>
          </cell>
          <cell r="E551">
            <v>0</v>
          </cell>
          <cell r="F551">
            <v>-0.55000000000000004</v>
          </cell>
        </row>
        <row r="552">
          <cell r="A552">
            <v>6</v>
          </cell>
          <cell r="B552">
            <v>6420</v>
          </cell>
          <cell r="C552">
            <v>1</v>
          </cell>
          <cell r="D552">
            <v>51</v>
          </cell>
          <cell r="E552">
            <v>11.540725</v>
          </cell>
          <cell r="F552">
            <v>34.956386000000002</v>
          </cell>
        </row>
        <row r="553">
          <cell r="A553">
            <v>6</v>
          </cell>
          <cell r="B553">
            <v>6420</v>
          </cell>
          <cell r="C553">
            <v>1</v>
          </cell>
          <cell r="D553">
            <v>52</v>
          </cell>
          <cell r="E553">
            <v>3.08921</v>
          </cell>
          <cell r="F553">
            <v>6.9001539999999997</v>
          </cell>
        </row>
        <row r="554">
          <cell r="A554">
            <v>6</v>
          </cell>
          <cell r="B554">
            <v>6420</v>
          </cell>
          <cell r="C554">
            <v>1</v>
          </cell>
          <cell r="D554">
            <v>591</v>
          </cell>
          <cell r="E554">
            <v>3.5000000000000001E-3</v>
          </cell>
          <cell r="F554">
            <v>3.0949999999999998E-2</v>
          </cell>
        </row>
        <row r="555">
          <cell r="A555">
            <v>6</v>
          </cell>
          <cell r="B555">
            <v>6421</v>
          </cell>
          <cell r="C555">
            <v>1</v>
          </cell>
          <cell r="D555">
            <v>4</v>
          </cell>
          <cell r="E555">
            <v>-1.4999999999999999E-4</v>
          </cell>
          <cell r="F555">
            <v>-2.3999999999999998E-3</v>
          </cell>
        </row>
        <row r="556">
          <cell r="A556">
            <v>6</v>
          </cell>
          <cell r="B556">
            <v>6421</v>
          </cell>
          <cell r="C556">
            <v>1</v>
          </cell>
          <cell r="D556">
            <v>51</v>
          </cell>
          <cell r="E556">
            <v>9.3961780000000008</v>
          </cell>
          <cell r="F556">
            <v>29.008258999999999</v>
          </cell>
        </row>
        <row r="557">
          <cell r="A557">
            <v>6</v>
          </cell>
          <cell r="B557">
            <v>6421</v>
          </cell>
          <cell r="C557">
            <v>1</v>
          </cell>
          <cell r="D557">
            <v>52</v>
          </cell>
          <cell r="E557">
            <v>2.3750110000000002</v>
          </cell>
          <cell r="F557">
            <v>5.2246940000000004</v>
          </cell>
        </row>
        <row r="558">
          <cell r="A558">
            <v>6</v>
          </cell>
          <cell r="B558">
            <v>6421</v>
          </cell>
          <cell r="C558">
            <v>1</v>
          </cell>
          <cell r="D558">
            <v>591</v>
          </cell>
          <cell r="E558">
            <v>0</v>
          </cell>
          <cell r="F558">
            <v>6.2249999999999996E-3</v>
          </cell>
        </row>
        <row r="559">
          <cell r="A559">
            <v>6</v>
          </cell>
          <cell r="B559">
            <v>6422</v>
          </cell>
          <cell r="C559">
            <v>1</v>
          </cell>
          <cell r="D559">
            <v>51</v>
          </cell>
          <cell r="E559">
            <v>2.9504239999999999</v>
          </cell>
          <cell r="F559">
            <v>8.7747679999999999</v>
          </cell>
        </row>
        <row r="560">
          <cell r="A560">
            <v>6</v>
          </cell>
          <cell r="B560">
            <v>6422</v>
          </cell>
          <cell r="C560">
            <v>1</v>
          </cell>
          <cell r="D560">
            <v>52</v>
          </cell>
          <cell r="E560">
            <v>0.81808999999999998</v>
          </cell>
          <cell r="F560">
            <v>2.5339610000000001</v>
          </cell>
        </row>
        <row r="561">
          <cell r="A561">
            <v>6</v>
          </cell>
          <cell r="B561">
            <v>6424</v>
          </cell>
          <cell r="C561">
            <v>1</v>
          </cell>
          <cell r="D561">
            <v>4</v>
          </cell>
          <cell r="E561">
            <v>-4.914E-3</v>
          </cell>
          <cell r="F561">
            <v>-0.69624699999999995</v>
          </cell>
        </row>
        <row r="562">
          <cell r="A562">
            <v>6</v>
          </cell>
          <cell r="B562">
            <v>6424</v>
          </cell>
          <cell r="C562">
            <v>1</v>
          </cell>
          <cell r="D562">
            <v>51</v>
          </cell>
          <cell r="E562">
            <v>29.676012</v>
          </cell>
          <cell r="F562">
            <v>93.377072999999996</v>
          </cell>
        </row>
        <row r="563">
          <cell r="A563">
            <v>6</v>
          </cell>
          <cell r="B563">
            <v>6424</v>
          </cell>
          <cell r="C563">
            <v>1</v>
          </cell>
          <cell r="D563">
            <v>52</v>
          </cell>
          <cell r="E563">
            <v>9.3654340000000005</v>
          </cell>
          <cell r="F563">
            <v>23.634271999999999</v>
          </cell>
        </row>
        <row r="564">
          <cell r="A564">
            <v>6</v>
          </cell>
          <cell r="B564">
            <v>6425</v>
          </cell>
          <cell r="C564">
            <v>1</v>
          </cell>
          <cell r="D564">
            <v>4</v>
          </cell>
          <cell r="E564">
            <v>-0.12174699999999999</v>
          </cell>
          <cell r="F564">
            <v>-0.56303099999999995</v>
          </cell>
        </row>
        <row r="565">
          <cell r="A565">
            <v>6</v>
          </cell>
          <cell r="B565">
            <v>6425</v>
          </cell>
          <cell r="C565">
            <v>1</v>
          </cell>
          <cell r="D565">
            <v>51</v>
          </cell>
          <cell r="E565">
            <v>10.326594</v>
          </cell>
          <cell r="F565">
            <v>33.186610000000002</v>
          </cell>
        </row>
        <row r="566">
          <cell r="A566">
            <v>6</v>
          </cell>
          <cell r="B566">
            <v>6425</v>
          </cell>
          <cell r="C566">
            <v>1</v>
          </cell>
          <cell r="D566">
            <v>52</v>
          </cell>
          <cell r="E566">
            <v>2.7631860000000001</v>
          </cell>
          <cell r="F566">
            <v>7.1122989999999993</v>
          </cell>
        </row>
        <row r="567">
          <cell r="A567">
            <v>6</v>
          </cell>
          <cell r="B567">
            <v>6425</v>
          </cell>
          <cell r="C567">
            <v>1</v>
          </cell>
          <cell r="D567">
            <v>591</v>
          </cell>
          <cell r="E567">
            <v>5.0000000000000001E-3</v>
          </cell>
          <cell r="F567">
            <v>5.0000000000000001E-3</v>
          </cell>
        </row>
        <row r="568">
          <cell r="A568">
            <v>6</v>
          </cell>
          <cell r="B568">
            <v>6426</v>
          </cell>
          <cell r="C568">
            <v>1</v>
          </cell>
          <cell r="D568">
            <v>4</v>
          </cell>
          <cell r="E568">
            <v>3.3579999999999999E-2</v>
          </cell>
          <cell r="F568">
            <v>-0.48991000000000001</v>
          </cell>
        </row>
        <row r="569">
          <cell r="A569">
            <v>6</v>
          </cell>
          <cell r="B569">
            <v>6426</v>
          </cell>
          <cell r="C569">
            <v>1</v>
          </cell>
          <cell r="D569">
            <v>51</v>
          </cell>
          <cell r="E569">
            <v>11.110509</v>
          </cell>
          <cell r="F569">
            <v>33.243943000000002</v>
          </cell>
        </row>
        <row r="570">
          <cell r="A570">
            <v>6</v>
          </cell>
          <cell r="B570">
            <v>6426</v>
          </cell>
          <cell r="C570">
            <v>1</v>
          </cell>
          <cell r="D570">
            <v>52</v>
          </cell>
          <cell r="E570">
            <v>3.3298350000000001</v>
          </cell>
          <cell r="F570">
            <v>7.6073709999999997</v>
          </cell>
        </row>
        <row r="571">
          <cell r="A571">
            <v>6</v>
          </cell>
          <cell r="B571">
            <v>6426</v>
          </cell>
          <cell r="C571">
            <v>1</v>
          </cell>
          <cell r="D571">
            <v>591</v>
          </cell>
          <cell r="E571">
            <v>2.5000000000000001E-3</v>
          </cell>
          <cell r="F571">
            <v>2.5000000000000001E-3</v>
          </cell>
        </row>
        <row r="572">
          <cell r="A572">
            <v>6</v>
          </cell>
          <cell r="B572">
            <v>6428</v>
          </cell>
          <cell r="C572">
            <v>1</v>
          </cell>
          <cell r="D572">
            <v>4</v>
          </cell>
          <cell r="E572">
            <v>-2.8226999999999999E-2</v>
          </cell>
          <cell r="F572">
            <v>-0.66230100000000003</v>
          </cell>
        </row>
        <row r="573">
          <cell r="A573">
            <v>6</v>
          </cell>
          <cell r="B573">
            <v>6428</v>
          </cell>
          <cell r="C573">
            <v>1</v>
          </cell>
          <cell r="D573">
            <v>51</v>
          </cell>
          <cell r="E573">
            <v>15.574858000000001</v>
          </cell>
          <cell r="F573">
            <v>48.114866999999997</v>
          </cell>
        </row>
        <row r="574">
          <cell r="A574">
            <v>6</v>
          </cell>
          <cell r="B574">
            <v>6428</v>
          </cell>
          <cell r="C574">
            <v>1</v>
          </cell>
          <cell r="D574">
            <v>52</v>
          </cell>
          <cell r="E574">
            <v>4.3414859999999997</v>
          </cell>
          <cell r="F574">
            <v>9.8585910000000005</v>
          </cell>
        </row>
        <row r="575">
          <cell r="A575">
            <v>6</v>
          </cell>
          <cell r="B575">
            <v>6429</v>
          </cell>
          <cell r="C575">
            <v>1</v>
          </cell>
          <cell r="D575">
            <v>51</v>
          </cell>
          <cell r="E575">
            <v>2.4818410000000002</v>
          </cell>
          <cell r="F575">
            <v>7.5808929999999997</v>
          </cell>
        </row>
        <row r="576">
          <cell r="A576">
            <v>6</v>
          </cell>
          <cell r="B576">
            <v>6429</v>
          </cell>
          <cell r="C576">
            <v>1</v>
          </cell>
          <cell r="D576">
            <v>52</v>
          </cell>
          <cell r="E576">
            <v>0.46487400000000001</v>
          </cell>
          <cell r="F576">
            <v>1.530661</v>
          </cell>
        </row>
        <row r="577">
          <cell r="A577">
            <v>6</v>
          </cell>
          <cell r="B577">
            <v>6429</v>
          </cell>
          <cell r="C577">
            <v>1</v>
          </cell>
          <cell r="D577">
            <v>591</v>
          </cell>
          <cell r="E577">
            <v>0</v>
          </cell>
          <cell r="F577">
            <v>2.6224999999999998E-2</v>
          </cell>
        </row>
        <row r="578">
          <cell r="A578">
            <v>6</v>
          </cell>
          <cell r="B578">
            <v>6430</v>
          </cell>
          <cell r="C578">
            <v>1</v>
          </cell>
          <cell r="D578">
            <v>4</v>
          </cell>
          <cell r="E578">
            <v>-0.52200000000000002</v>
          </cell>
          <cell r="F578">
            <v>-1.2822</v>
          </cell>
        </row>
        <row r="579">
          <cell r="A579">
            <v>6</v>
          </cell>
          <cell r="B579">
            <v>6430</v>
          </cell>
          <cell r="C579">
            <v>1</v>
          </cell>
          <cell r="D579">
            <v>51</v>
          </cell>
          <cell r="E579">
            <v>2.5331399999999999</v>
          </cell>
          <cell r="F579">
            <v>7.5893319999999997</v>
          </cell>
        </row>
        <row r="580">
          <cell r="A580">
            <v>6</v>
          </cell>
          <cell r="B580">
            <v>6430</v>
          </cell>
          <cell r="C580">
            <v>1</v>
          </cell>
          <cell r="D580">
            <v>52</v>
          </cell>
          <cell r="E580">
            <v>0.722271</v>
          </cell>
          <cell r="F580">
            <v>1.817825</v>
          </cell>
        </row>
        <row r="581">
          <cell r="A581">
            <v>6</v>
          </cell>
          <cell r="B581">
            <v>6431</v>
          </cell>
          <cell r="C581">
            <v>1</v>
          </cell>
          <cell r="D581">
            <v>4</v>
          </cell>
          <cell r="E581">
            <v>-8.3199999999999995E-4</v>
          </cell>
          <cell r="F581">
            <v>-0.358402</v>
          </cell>
        </row>
        <row r="582">
          <cell r="A582">
            <v>6</v>
          </cell>
          <cell r="B582">
            <v>6431</v>
          </cell>
          <cell r="C582">
            <v>1</v>
          </cell>
          <cell r="D582">
            <v>51</v>
          </cell>
          <cell r="E582">
            <v>9.0530030000000004</v>
          </cell>
          <cell r="F582">
            <v>27.059273000000001</v>
          </cell>
        </row>
        <row r="583">
          <cell r="A583">
            <v>6</v>
          </cell>
          <cell r="B583">
            <v>6431</v>
          </cell>
          <cell r="C583">
            <v>1</v>
          </cell>
          <cell r="D583">
            <v>52</v>
          </cell>
          <cell r="E583">
            <v>4.9458359999999999</v>
          </cell>
          <cell r="F583">
            <v>10.061143</v>
          </cell>
        </row>
        <row r="584">
          <cell r="A584">
            <v>6</v>
          </cell>
          <cell r="B584">
            <v>6431</v>
          </cell>
          <cell r="C584">
            <v>1</v>
          </cell>
          <cell r="D584">
            <v>591</v>
          </cell>
          <cell r="E584">
            <v>2E-3</v>
          </cell>
          <cell r="F584">
            <v>1.4449999999999999E-2</v>
          </cell>
        </row>
        <row r="585">
          <cell r="A585">
            <v>6</v>
          </cell>
          <cell r="B585">
            <v>6432</v>
          </cell>
          <cell r="C585">
            <v>1</v>
          </cell>
          <cell r="D585">
            <v>4</v>
          </cell>
          <cell r="E585">
            <v>-1.032592</v>
          </cell>
          <cell r="F585">
            <v>-3.3534799999999998</v>
          </cell>
        </row>
        <row r="586">
          <cell r="A586">
            <v>6</v>
          </cell>
          <cell r="B586">
            <v>6432</v>
          </cell>
          <cell r="C586">
            <v>1</v>
          </cell>
          <cell r="D586">
            <v>51</v>
          </cell>
          <cell r="E586">
            <v>11.411253</v>
          </cell>
          <cell r="F586">
            <v>34.212575000000001</v>
          </cell>
        </row>
        <row r="587">
          <cell r="A587">
            <v>6</v>
          </cell>
          <cell r="B587">
            <v>6432</v>
          </cell>
          <cell r="C587">
            <v>1</v>
          </cell>
          <cell r="D587">
            <v>52</v>
          </cell>
          <cell r="E587">
            <v>2.9549349999999999</v>
          </cell>
          <cell r="F587">
            <v>6.5434369999999999</v>
          </cell>
        </row>
        <row r="588">
          <cell r="A588">
            <v>6</v>
          </cell>
          <cell r="B588">
            <v>6432</v>
          </cell>
          <cell r="C588">
            <v>1</v>
          </cell>
          <cell r="D588">
            <v>591</v>
          </cell>
          <cell r="E588">
            <v>0</v>
          </cell>
          <cell r="F588">
            <v>7.0000000000000001E-3</v>
          </cell>
        </row>
        <row r="589">
          <cell r="A589">
            <v>6</v>
          </cell>
          <cell r="B589">
            <v>6433</v>
          </cell>
          <cell r="C589">
            <v>1</v>
          </cell>
          <cell r="D589">
            <v>4</v>
          </cell>
          <cell r="E589">
            <v>-7.5591000000000005E-2</v>
          </cell>
          <cell r="F589">
            <v>-0.67923999999999995</v>
          </cell>
        </row>
        <row r="590">
          <cell r="A590">
            <v>6</v>
          </cell>
          <cell r="B590">
            <v>6433</v>
          </cell>
          <cell r="C590">
            <v>1</v>
          </cell>
          <cell r="D590">
            <v>51</v>
          </cell>
          <cell r="E590">
            <v>23.667356000000002</v>
          </cell>
          <cell r="F590">
            <v>72.192925000000002</v>
          </cell>
        </row>
        <row r="591">
          <cell r="A591">
            <v>6</v>
          </cell>
          <cell r="B591">
            <v>6433</v>
          </cell>
          <cell r="C591">
            <v>1</v>
          </cell>
          <cell r="D591">
            <v>52</v>
          </cell>
          <cell r="E591">
            <v>6.165133</v>
          </cell>
          <cell r="F591">
            <v>15.124382000000001</v>
          </cell>
        </row>
        <row r="592">
          <cell r="A592">
            <v>6</v>
          </cell>
          <cell r="B592">
            <v>6433</v>
          </cell>
          <cell r="C592">
            <v>1</v>
          </cell>
          <cell r="D592">
            <v>591</v>
          </cell>
          <cell r="E592">
            <v>1.2999999999999999E-2</v>
          </cell>
          <cell r="F592">
            <v>1.55E-2</v>
          </cell>
        </row>
        <row r="593">
          <cell r="A593">
            <v>6</v>
          </cell>
          <cell r="B593">
            <v>6434</v>
          </cell>
          <cell r="C593">
            <v>1</v>
          </cell>
          <cell r="D593">
            <v>4</v>
          </cell>
          <cell r="E593">
            <v>-1.4E-3</v>
          </cell>
          <cell r="F593">
            <v>-7.7000000000000002E-3</v>
          </cell>
        </row>
        <row r="594">
          <cell r="A594">
            <v>6</v>
          </cell>
          <cell r="B594">
            <v>6434</v>
          </cell>
          <cell r="C594">
            <v>1</v>
          </cell>
          <cell r="D594">
            <v>51</v>
          </cell>
          <cell r="E594">
            <v>8.8335380000000008</v>
          </cell>
          <cell r="F594">
            <v>26.378639</v>
          </cell>
        </row>
        <row r="595">
          <cell r="A595">
            <v>6</v>
          </cell>
          <cell r="B595">
            <v>6434</v>
          </cell>
          <cell r="C595">
            <v>1</v>
          </cell>
          <cell r="D595">
            <v>52</v>
          </cell>
          <cell r="E595">
            <v>2.260265</v>
          </cell>
          <cell r="F595">
            <v>6.6544030000000003</v>
          </cell>
        </row>
        <row r="596">
          <cell r="A596">
            <v>6</v>
          </cell>
          <cell r="B596">
            <v>6434</v>
          </cell>
          <cell r="C596">
            <v>1</v>
          </cell>
          <cell r="D596">
            <v>591</v>
          </cell>
          <cell r="E596">
            <v>0</v>
          </cell>
          <cell r="F596">
            <v>1.2449999999999999E-2</v>
          </cell>
        </row>
        <row r="597">
          <cell r="A597">
            <v>6</v>
          </cell>
          <cell r="B597">
            <v>6436</v>
          </cell>
          <cell r="C597">
            <v>1</v>
          </cell>
          <cell r="D597">
            <v>4</v>
          </cell>
          <cell r="E597">
            <v>-0.31689499999999998</v>
          </cell>
          <cell r="F597">
            <v>-0.33383600000000002</v>
          </cell>
        </row>
        <row r="598">
          <cell r="A598">
            <v>6</v>
          </cell>
          <cell r="B598">
            <v>6436</v>
          </cell>
          <cell r="C598">
            <v>1</v>
          </cell>
          <cell r="D598">
            <v>51</v>
          </cell>
          <cell r="E598">
            <v>11.320283999999999</v>
          </cell>
          <cell r="F598">
            <v>33.823062999999998</v>
          </cell>
        </row>
        <row r="599">
          <cell r="A599">
            <v>6</v>
          </cell>
          <cell r="B599">
            <v>6436</v>
          </cell>
          <cell r="C599">
            <v>1</v>
          </cell>
          <cell r="D599">
            <v>52</v>
          </cell>
          <cell r="E599">
            <v>2.989293</v>
          </cell>
          <cell r="F599">
            <v>9.8666070000000001</v>
          </cell>
        </row>
        <row r="600">
          <cell r="A600">
            <v>6</v>
          </cell>
          <cell r="B600">
            <v>6437</v>
          </cell>
          <cell r="C600">
            <v>1</v>
          </cell>
          <cell r="D600">
            <v>4</v>
          </cell>
          <cell r="E600">
            <v>-0.33913599999999999</v>
          </cell>
          <cell r="F600">
            <v>-0.48102600000000001</v>
          </cell>
        </row>
        <row r="601">
          <cell r="A601">
            <v>6</v>
          </cell>
          <cell r="B601">
            <v>6437</v>
          </cell>
          <cell r="C601">
            <v>1</v>
          </cell>
          <cell r="D601">
            <v>51</v>
          </cell>
          <cell r="E601">
            <v>10.616929000000001</v>
          </cell>
          <cell r="F601">
            <v>31.844867000000001</v>
          </cell>
        </row>
        <row r="602">
          <cell r="A602">
            <v>6</v>
          </cell>
          <cell r="B602">
            <v>6437</v>
          </cell>
          <cell r="C602">
            <v>1</v>
          </cell>
          <cell r="D602">
            <v>52</v>
          </cell>
          <cell r="E602">
            <v>2.8530709999999999</v>
          </cell>
          <cell r="F602">
            <v>11.639861</v>
          </cell>
        </row>
        <row r="603">
          <cell r="A603">
            <v>6</v>
          </cell>
          <cell r="B603">
            <v>6437</v>
          </cell>
          <cell r="C603">
            <v>1</v>
          </cell>
          <cell r="D603">
            <v>591</v>
          </cell>
          <cell r="E603">
            <v>0</v>
          </cell>
          <cell r="F603">
            <v>1.8675000000000001E-2</v>
          </cell>
        </row>
        <row r="604">
          <cell r="A604">
            <v>6</v>
          </cell>
          <cell r="B604">
            <v>6490</v>
          </cell>
          <cell r="C604">
            <v>1</v>
          </cell>
          <cell r="D604">
            <v>51</v>
          </cell>
          <cell r="E604">
            <v>0</v>
          </cell>
          <cell r="F604">
            <v>0.61174300000000004</v>
          </cell>
        </row>
        <row r="605">
          <cell r="A605">
            <v>6</v>
          </cell>
          <cell r="B605">
            <v>6490</v>
          </cell>
          <cell r="C605">
            <v>1</v>
          </cell>
          <cell r="D605">
            <v>52</v>
          </cell>
          <cell r="E605">
            <v>13.526676999999999</v>
          </cell>
          <cell r="F605">
            <v>34.226632000000002</v>
          </cell>
        </row>
        <row r="606">
          <cell r="A606">
            <v>6</v>
          </cell>
          <cell r="B606">
            <v>6491</v>
          </cell>
          <cell r="C606">
            <v>5</v>
          </cell>
          <cell r="D606">
            <v>52</v>
          </cell>
          <cell r="E606">
            <v>0</v>
          </cell>
          <cell r="F606">
            <v>0.14138999999999999</v>
          </cell>
        </row>
        <row r="607">
          <cell r="A607">
            <v>6</v>
          </cell>
          <cell r="B607">
            <v>6491</v>
          </cell>
          <cell r="C607">
            <v>6</v>
          </cell>
          <cell r="D607">
            <v>52</v>
          </cell>
          <cell r="E607">
            <v>59.406807000000001</v>
          </cell>
          <cell r="F607">
            <v>59.406807000000001</v>
          </cell>
        </row>
        <row r="608">
          <cell r="A608">
            <v>6</v>
          </cell>
          <cell r="B608">
            <v>6501</v>
          </cell>
          <cell r="C608">
            <v>1</v>
          </cell>
          <cell r="D608">
            <v>4</v>
          </cell>
          <cell r="E608">
            <v>-8.8179049999999997</v>
          </cell>
          <cell r="F608">
            <v>-20.872700999999999</v>
          </cell>
        </row>
        <row r="609">
          <cell r="A609">
            <v>6</v>
          </cell>
          <cell r="B609">
            <v>6501</v>
          </cell>
          <cell r="C609">
            <v>1</v>
          </cell>
          <cell r="D609">
            <v>51</v>
          </cell>
          <cell r="E609">
            <v>67.176914999999994</v>
          </cell>
          <cell r="F609">
            <v>199.41972699999999</v>
          </cell>
        </row>
        <row r="610">
          <cell r="A610">
            <v>6</v>
          </cell>
          <cell r="B610">
            <v>6501</v>
          </cell>
          <cell r="C610">
            <v>1</v>
          </cell>
          <cell r="D610">
            <v>52</v>
          </cell>
          <cell r="E610">
            <v>38.983382999999996</v>
          </cell>
          <cell r="F610">
            <v>100.08263799999999</v>
          </cell>
        </row>
        <row r="611">
          <cell r="A611">
            <v>6</v>
          </cell>
          <cell r="B611">
            <v>6501</v>
          </cell>
          <cell r="C611">
            <v>1</v>
          </cell>
          <cell r="D611">
            <v>591</v>
          </cell>
          <cell r="E611">
            <v>1.1056250000000001</v>
          </cell>
          <cell r="F611">
            <v>2.728523</v>
          </cell>
        </row>
        <row r="612">
          <cell r="A612">
            <v>6</v>
          </cell>
          <cell r="B612">
            <v>6591</v>
          </cell>
          <cell r="C612">
            <v>6</v>
          </cell>
          <cell r="D612">
            <v>52</v>
          </cell>
          <cell r="E612">
            <v>3.5000000000000003E-2</v>
          </cell>
          <cell r="F612">
            <v>3.2730090000000001</v>
          </cell>
        </row>
        <row r="613">
          <cell r="A613">
            <v>6</v>
          </cell>
          <cell r="B613">
            <v>6601</v>
          </cell>
          <cell r="C613">
            <v>1</v>
          </cell>
          <cell r="D613">
            <v>4</v>
          </cell>
          <cell r="E613">
            <v>0</v>
          </cell>
          <cell r="F613">
            <v>-13.093254999999999</v>
          </cell>
        </row>
        <row r="614">
          <cell r="A614">
            <v>6</v>
          </cell>
          <cell r="B614">
            <v>6601</v>
          </cell>
          <cell r="C614">
            <v>1</v>
          </cell>
          <cell r="D614">
            <v>51</v>
          </cell>
          <cell r="E614">
            <v>32.123457000000002</v>
          </cell>
          <cell r="F614">
            <v>94.758228000000003</v>
          </cell>
        </row>
        <row r="615">
          <cell r="A615">
            <v>6</v>
          </cell>
          <cell r="B615">
            <v>6601</v>
          </cell>
          <cell r="C615">
            <v>1</v>
          </cell>
          <cell r="D615">
            <v>52</v>
          </cell>
          <cell r="E615">
            <v>12.932812</v>
          </cell>
          <cell r="F615">
            <v>55.531408999999996</v>
          </cell>
        </row>
        <row r="616">
          <cell r="A616">
            <v>6</v>
          </cell>
          <cell r="B616">
            <v>6601</v>
          </cell>
          <cell r="C616">
            <v>1</v>
          </cell>
          <cell r="D616">
            <v>591</v>
          </cell>
          <cell r="E616">
            <v>9.5999999999999992E-3</v>
          </cell>
          <cell r="F616">
            <v>1.46E-2</v>
          </cell>
        </row>
        <row r="617">
          <cell r="A617">
            <v>6</v>
          </cell>
          <cell r="B617">
            <v>6605</v>
          </cell>
          <cell r="C617">
            <v>1</v>
          </cell>
          <cell r="D617">
            <v>4</v>
          </cell>
          <cell r="E617">
            <v>-0.10988000000000001</v>
          </cell>
          <cell r="F617">
            <v>-0.11812</v>
          </cell>
        </row>
        <row r="618">
          <cell r="A618">
            <v>6</v>
          </cell>
          <cell r="B618">
            <v>6605</v>
          </cell>
          <cell r="C618">
            <v>1</v>
          </cell>
          <cell r="D618">
            <v>51</v>
          </cell>
          <cell r="E618">
            <v>12.249295999999999</v>
          </cell>
          <cell r="F618">
            <v>35.973208</v>
          </cell>
        </row>
        <row r="619">
          <cell r="A619">
            <v>6</v>
          </cell>
          <cell r="B619">
            <v>6605</v>
          </cell>
          <cell r="C619">
            <v>1</v>
          </cell>
          <cell r="D619">
            <v>52</v>
          </cell>
          <cell r="E619">
            <v>12.469184</v>
          </cell>
          <cell r="F619">
            <v>47.893667000000001</v>
          </cell>
        </row>
        <row r="620">
          <cell r="A620">
            <v>6</v>
          </cell>
          <cell r="B620">
            <v>6701</v>
          </cell>
          <cell r="C620">
            <v>1</v>
          </cell>
          <cell r="D620">
            <v>4</v>
          </cell>
          <cell r="E620">
            <v>-7.5241809999999996</v>
          </cell>
          <cell r="F620">
            <v>-25.478553000000002</v>
          </cell>
        </row>
        <row r="621">
          <cell r="A621">
            <v>6</v>
          </cell>
          <cell r="B621">
            <v>6701</v>
          </cell>
          <cell r="C621">
            <v>1</v>
          </cell>
          <cell r="D621">
            <v>51</v>
          </cell>
          <cell r="E621">
            <v>114.236338</v>
          </cell>
          <cell r="F621">
            <v>346.56702899999999</v>
          </cell>
        </row>
        <row r="622">
          <cell r="A622">
            <v>6</v>
          </cell>
          <cell r="B622">
            <v>6701</v>
          </cell>
          <cell r="C622">
            <v>1</v>
          </cell>
          <cell r="D622">
            <v>52</v>
          </cell>
          <cell r="E622">
            <v>16.400506</v>
          </cell>
          <cell r="F622">
            <v>49.374417999999999</v>
          </cell>
        </row>
        <row r="623">
          <cell r="A623">
            <v>6</v>
          </cell>
          <cell r="B623">
            <v>6701</v>
          </cell>
          <cell r="C623">
            <v>6</v>
          </cell>
          <cell r="D623">
            <v>591</v>
          </cell>
          <cell r="E623">
            <v>0</v>
          </cell>
          <cell r="F623">
            <v>6.9</v>
          </cell>
        </row>
        <row r="624">
          <cell r="A624">
            <v>6</v>
          </cell>
          <cell r="B624">
            <v>6705</v>
          </cell>
          <cell r="C624">
            <v>1</v>
          </cell>
          <cell r="D624">
            <v>591</v>
          </cell>
          <cell r="E624">
            <v>21.377155999999999</v>
          </cell>
          <cell r="F624">
            <v>64.131467999999998</v>
          </cell>
        </row>
        <row r="625">
          <cell r="A625">
            <v>6</v>
          </cell>
          <cell r="B625">
            <v>6707</v>
          </cell>
          <cell r="C625">
            <v>1</v>
          </cell>
          <cell r="D625">
            <v>591</v>
          </cell>
          <cell r="E625">
            <v>6.85</v>
          </cell>
          <cell r="F625">
            <v>20.55</v>
          </cell>
        </row>
        <row r="626">
          <cell r="A626">
            <v>6</v>
          </cell>
          <cell r="B626">
            <v>6733</v>
          </cell>
          <cell r="C626">
            <v>1</v>
          </cell>
          <cell r="D626">
            <v>52</v>
          </cell>
          <cell r="E626">
            <v>82.792190000000005</v>
          </cell>
          <cell r="F626">
            <v>254.87348399999999</v>
          </cell>
        </row>
        <row r="627">
          <cell r="A627">
            <v>6</v>
          </cell>
          <cell r="B627">
            <v>6735</v>
          </cell>
          <cell r="C627">
            <v>1</v>
          </cell>
          <cell r="D627">
            <v>591</v>
          </cell>
          <cell r="E627">
            <v>170.21570800000001</v>
          </cell>
          <cell r="F627">
            <v>510.64712400000002</v>
          </cell>
        </row>
        <row r="628">
          <cell r="A628">
            <v>6</v>
          </cell>
          <cell r="B628">
            <v>6736</v>
          </cell>
          <cell r="C628">
            <v>1</v>
          </cell>
          <cell r="D628">
            <v>591</v>
          </cell>
          <cell r="E628">
            <v>27.655760999999998</v>
          </cell>
          <cell r="F628">
            <v>82.967282999999995</v>
          </cell>
        </row>
        <row r="629">
          <cell r="A629">
            <v>6</v>
          </cell>
          <cell r="B629">
            <v>6801</v>
          </cell>
          <cell r="C629">
            <v>1</v>
          </cell>
          <cell r="D629">
            <v>4</v>
          </cell>
          <cell r="E629">
            <v>-0.42473</v>
          </cell>
          <cell r="F629">
            <v>-2.4567320000000001</v>
          </cell>
        </row>
        <row r="630">
          <cell r="A630">
            <v>6</v>
          </cell>
          <cell r="B630">
            <v>6801</v>
          </cell>
          <cell r="C630">
            <v>1</v>
          </cell>
          <cell r="D630">
            <v>51</v>
          </cell>
          <cell r="E630">
            <v>10.336449999999999</v>
          </cell>
          <cell r="F630">
            <v>30.732037999999999</v>
          </cell>
        </row>
        <row r="631">
          <cell r="A631">
            <v>6</v>
          </cell>
          <cell r="B631">
            <v>6801</v>
          </cell>
          <cell r="C631">
            <v>1</v>
          </cell>
          <cell r="D631">
            <v>52</v>
          </cell>
          <cell r="E631">
            <v>3.394755</v>
          </cell>
          <cell r="F631">
            <v>12.187007999999999</v>
          </cell>
        </row>
        <row r="632">
          <cell r="A632">
            <v>6</v>
          </cell>
          <cell r="B632">
            <v>6805</v>
          </cell>
          <cell r="C632">
            <v>1</v>
          </cell>
          <cell r="D632">
            <v>51</v>
          </cell>
          <cell r="E632">
            <v>0.81841900000000001</v>
          </cell>
          <cell r="F632">
            <v>2.4565839999999999</v>
          </cell>
        </row>
        <row r="633">
          <cell r="A633">
            <v>6</v>
          </cell>
          <cell r="B633">
            <v>6805</v>
          </cell>
          <cell r="C633">
            <v>1</v>
          </cell>
          <cell r="D633">
            <v>52</v>
          </cell>
          <cell r="E633">
            <v>1.8242999999999999E-2</v>
          </cell>
          <cell r="F633">
            <v>0.13606299999999999</v>
          </cell>
        </row>
        <row r="634">
          <cell r="A634">
            <v>7</v>
          </cell>
          <cell r="B634">
            <v>7101</v>
          </cell>
          <cell r="C634">
            <v>1</v>
          </cell>
          <cell r="D634">
            <v>4</v>
          </cell>
          <cell r="E634">
            <v>-13.795500000000001</v>
          </cell>
          <cell r="F634">
            <v>-14.117319</v>
          </cell>
        </row>
        <row r="635">
          <cell r="A635">
            <v>7</v>
          </cell>
          <cell r="B635">
            <v>7101</v>
          </cell>
          <cell r="C635">
            <v>1</v>
          </cell>
          <cell r="D635">
            <v>51</v>
          </cell>
          <cell r="E635">
            <v>23.470928000000001</v>
          </cell>
          <cell r="F635">
            <v>71.354394999999997</v>
          </cell>
        </row>
        <row r="636">
          <cell r="A636">
            <v>7</v>
          </cell>
          <cell r="B636">
            <v>7101</v>
          </cell>
          <cell r="C636">
            <v>1</v>
          </cell>
          <cell r="D636">
            <v>52</v>
          </cell>
          <cell r="E636">
            <v>7.5503580000000001</v>
          </cell>
          <cell r="F636">
            <v>21.205916999999999</v>
          </cell>
        </row>
        <row r="637">
          <cell r="A637">
            <v>7</v>
          </cell>
          <cell r="B637">
            <v>7101</v>
          </cell>
          <cell r="C637">
            <v>1</v>
          </cell>
          <cell r="D637">
            <v>591</v>
          </cell>
          <cell r="E637">
            <v>1.0062E-2</v>
          </cell>
          <cell r="F637">
            <v>1.0062E-2</v>
          </cell>
        </row>
        <row r="638">
          <cell r="A638">
            <v>7</v>
          </cell>
          <cell r="B638">
            <v>7190</v>
          </cell>
          <cell r="C638">
            <v>1</v>
          </cell>
          <cell r="D638">
            <v>4</v>
          </cell>
          <cell r="E638">
            <v>0</v>
          </cell>
          <cell r="F638">
            <v>-15.037191</v>
          </cell>
        </row>
        <row r="639">
          <cell r="A639">
            <v>7</v>
          </cell>
          <cell r="B639">
            <v>7190</v>
          </cell>
          <cell r="C639">
            <v>1</v>
          </cell>
          <cell r="D639">
            <v>51</v>
          </cell>
          <cell r="E639">
            <v>5.6122329999999998</v>
          </cell>
          <cell r="F639">
            <v>14.485208999999999</v>
          </cell>
        </row>
        <row r="640">
          <cell r="A640">
            <v>7</v>
          </cell>
          <cell r="B640">
            <v>7190</v>
          </cell>
          <cell r="C640">
            <v>1</v>
          </cell>
          <cell r="D640">
            <v>52</v>
          </cell>
          <cell r="E640">
            <v>3.0510640000000002</v>
          </cell>
          <cell r="F640">
            <v>9.1447669999999999</v>
          </cell>
        </row>
        <row r="641">
          <cell r="A641">
            <v>7</v>
          </cell>
          <cell r="B641">
            <v>7190</v>
          </cell>
          <cell r="C641">
            <v>1</v>
          </cell>
          <cell r="D641">
            <v>591</v>
          </cell>
          <cell r="E641">
            <v>5.6755620000000002</v>
          </cell>
          <cell r="F641">
            <v>5.6755620000000002</v>
          </cell>
        </row>
        <row r="642">
          <cell r="A642">
            <v>7</v>
          </cell>
          <cell r="B642">
            <v>7205</v>
          </cell>
          <cell r="C642">
            <v>6</v>
          </cell>
          <cell r="D642">
            <v>591</v>
          </cell>
          <cell r="E642">
            <v>36.33</v>
          </cell>
          <cell r="F642">
            <v>108.99</v>
          </cell>
        </row>
        <row r="643">
          <cell r="A643">
            <v>7</v>
          </cell>
          <cell r="B643">
            <v>7207</v>
          </cell>
          <cell r="C643">
            <v>6</v>
          </cell>
          <cell r="D643">
            <v>591</v>
          </cell>
          <cell r="E643">
            <v>2.5</v>
          </cell>
          <cell r="F643">
            <v>7.5</v>
          </cell>
        </row>
        <row r="644">
          <cell r="A644">
            <v>7</v>
          </cell>
          <cell r="B644">
            <v>7302</v>
          </cell>
          <cell r="C644">
            <v>1</v>
          </cell>
          <cell r="D644">
            <v>4</v>
          </cell>
          <cell r="E644">
            <v>0</v>
          </cell>
          <cell r="F644">
            <v>-0.05</v>
          </cell>
        </row>
        <row r="645">
          <cell r="A645">
            <v>7</v>
          </cell>
          <cell r="B645">
            <v>7302</v>
          </cell>
          <cell r="C645">
            <v>1</v>
          </cell>
          <cell r="D645">
            <v>51</v>
          </cell>
          <cell r="E645">
            <v>1.832346</v>
          </cell>
          <cell r="F645">
            <v>5.497636</v>
          </cell>
        </row>
        <row r="646">
          <cell r="A646">
            <v>7</v>
          </cell>
          <cell r="B646">
            <v>7302</v>
          </cell>
          <cell r="C646">
            <v>1</v>
          </cell>
          <cell r="D646">
            <v>52</v>
          </cell>
          <cell r="E646">
            <v>3.018443</v>
          </cell>
          <cell r="F646">
            <v>9.0205760000000001</v>
          </cell>
        </row>
        <row r="647">
          <cell r="A647">
            <v>7</v>
          </cell>
          <cell r="B647">
            <v>7302</v>
          </cell>
          <cell r="C647">
            <v>1</v>
          </cell>
          <cell r="D647">
            <v>591</v>
          </cell>
          <cell r="E647">
            <v>0</v>
          </cell>
          <cell r="F647">
            <v>5.0000000000000001E-3</v>
          </cell>
        </row>
        <row r="648">
          <cell r="A648">
            <v>7</v>
          </cell>
          <cell r="B648">
            <v>7313</v>
          </cell>
          <cell r="C648">
            <v>1</v>
          </cell>
          <cell r="D648">
            <v>4</v>
          </cell>
          <cell r="E648">
            <v>0</v>
          </cell>
          <cell r="F648">
            <v>-0.69899800000000001</v>
          </cell>
        </row>
        <row r="649">
          <cell r="A649">
            <v>7</v>
          </cell>
          <cell r="B649">
            <v>7313</v>
          </cell>
          <cell r="C649">
            <v>1</v>
          </cell>
          <cell r="D649">
            <v>51</v>
          </cell>
          <cell r="E649">
            <v>4.1108750000000001</v>
          </cell>
          <cell r="F649">
            <v>11.865539999999999</v>
          </cell>
        </row>
        <row r="650">
          <cell r="A650">
            <v>7</v>
          </cell>
          <cell r="B650">
            <v>7313</v>
          </cell>
          <cell r="C650">
            <v>1</v>
          </cell>
          <cell r="D650">
            <v>52</v>
          </cell>
          <cell r="E650">
            <v>1.2954369999999999</v>
          </cell>
          <cell r="F650">
            <v>6.5515660000000002</v>
          </cell>
        </row>
        <row r="651">
          <cell r="A651">
            <v>7</v>
          </cell>
          <cell r="B651">
            <v>7313</v>
          </cell>
          <cell r="C651">
            <v>1</v>
          </cell>
          <cell r="D651">
            <v>591</v>
          </cell>
          <cell r="E651">
            <v>4.54</v>
          </cell>
          <cell r="F651">
            <v>8.5714629999999996</v>
          </cell>
        </row>
        <row r="652">
          <cell r="A652">
            <v>7</v>
          </cell>
          <cell r="B652">
            <v>7331</v>
          </cell>
          <cell r="C652">
            <v>1</v>
          </cell>
          <cell r="D652">
            <v>4</v>
          </cell>
          <cell r="E652">
            <v>-8.1229680000000002</v>
          </cell>
          <cell r="F652">
            <v>-22.160458999999999</v>
          </cell>
        </row>
        <row r="653">
          <cell r="A653">
            <v>7</v>
          </cell>
          <cell r="B653">
            <v>7331</v>
          </cell>
          <cell r="C653">
            <v>1</v>
          </cell>
          <cell r="D653">
            <v>51</v>
          </cell>
          <cell r="E653">
            <v>33.751235999999999</v>
          </cell>
          <cell r="F653">
            <v>100.876446</v>
          </cell>
        </row>
        <row r="654">
          <cell r="A654">
            <v>7</v>
          </cell>
          <cell r="B654">
            <v>7331</v>
          </cell>
          <cell r="C654">
            <v>1</v>
          </cell>
          <cell r="D654">
            <v>52</v>
          </cell>
          <cell r="E654">
            <v>8.3350000000000009</v>
          </cell>
          <cell r="F654">
            <v>27.088132999999999</v>
          </cell>
        </row>
        <row r="655">
          <cell r="A655">
            <v>7</v>
          </cell>
          <cell r="B655">
            <v>7400</v>
          </cell>
          <cell r="C655">
            <v>1</v>
          </cell>
          <cell r="D655">
            <v>4</v>
          </cell>
          <cell r="E655">
            <v>-1.3814029999999999</v>
          </cell>
          <cell r="F655">
            <v>-1.657403</v>
          </cell>
        </row>
        <row r="656">
          <cell r="A656">
            <v>7</v>
          </cell>
          <cell r="B656">
            <v>7400</v>
          </cell>
          <cell r="C656">
            <v>1</v>
          </cell>
          <cell r="D656">
            <v>51</v>
          </cell>
          <cell r="E656">
            <v>28.292245999999999</v>
          </cell>
          <cell r="F656">
            <v>82.477670000000003</v>
          </cell>
        </row>
        <row r="657">
          <cell r="A657">
            <v>7</v>
          </cell>
          <cell r="B657">
            <v>7400</v>
          </cell>
          <cell r="C657">
            <v>1</v>
          </cell>
          <cell r="D657">
            <v>52</v>
          </cell>
          <cell r="E657">
            <v>42.872682999999995</v>
          </cell>
          <cell r="F657">
            <v>145.75987000000001</v>
          </cell>
        </row>
        <row r="658">
          <cell r="A658">
            <v>7</v>
          </cell>
          <cell r="B658">
            <v>7400</v>
          </cell>
          <cell r="C658">
            <v>1</v>
          </cell>
          <cell r="D658">
            <v>591</v>
          </cell>
          <cell r="E658">
            <v>9.5999999999999992E-3</v>
          </cell>
          <cell r="F658">
            <v>1.26E-2</v>
          </cell>
        </row>
        <row r="659">
          <cell r="A659">
            <v>7</v>
          </cell>
          <cell r="B659">
            <v>7505</v>
          </cell>
          <cell r="C659">
            <v>1</v>
          </cell>
          <cell r="D659">
            <v>4</v>
          </cell>
          <cell r="E659">
            <v>-75.955084999999997</v>
          </cell>
          <cell r="F659">
            <v>-242.92178699999999</v>
          </cell>
        </row>
        <row r="660">
          <cell r="A660">
            <v>7</v>
          </cell>
          <cell r="B660">
            <v>7505</v>
          </cell>
          <cell r="C660">
            <v>1</v>
          </cell>
          <cell r="D660">
            <v>52</v>
          </cell>
          <cell r="E660">
            <v>70.601958999999994</v>
          </cell>
          <cell r="F660">
            <v>207.06102300000001</v>
          </cell>
        </row>
        <row r="661">
          <cell r="A661">
            <v>7</v>
          </cell>
          <cell r="B661">
            <v>7505</v>
          </cell>
          <cell r="C661">
            <v>6</v>
          </cell>
          <cell r="D661">
            <v>52</v>
          </cell>
          <cell r="E661">
            <v>0</v>
          </cell>
          <cell r="F661">
            <v>0.61750000000000005</v>
          </cell>
        </row>
        <row r="662">
          <cell r="A662">
            <v>7</v>
          </cell>
          <cell r="B662">
            <v>7515</v>
          </cell>
          <cell r="C662">
            <v>5</v>
          </cell>
          <cell r="D662">
            <v>52</v>
          </cell>
          <cell r="E662">
            <v>13.68</v>
          </cell>
          <cell r="F662">
            <v>13.68</v>
          </cell>
        </row>
        <row r="663">
          <cell r="A663">
            <v>7</v>
          </cell>
          <cell r="B663">
            <v>7515</v>
          </cell>
          <cell r="C663">
            <v>6</v>
          </cell>
          <cell r="D663">
            <v>51</v>
          </cell>
          <cell r="E663">
            <v>1.7677999999999999E-2</v>
          </cell>
          <cell r="F663">
            <v>5.3034999999999999E-2</v>
          </cell>
        </row>
        <row r="664">
          <cell r="A664">
            <v>7</v>
          </cell>
          <cell r="B664">
            <v>7515</v>
          </cell>
          <cell r="C664">
            <v>6</v>
          </cell>
          <cell r="D664">
            <v>52</v>
          </cell>
          <cell r="E664">
            <v>1.5122999999999999E-2</v>
          </cell>
          <cell r="F664">
            <v>8.6400000000000005E-2</v>
          </cell>
        </row>
        <row r="665">
          <cell r="A665">
            <v>7</v>
          </cell>
          <cell r="B665">
            <v>7521</v>
          </cell>
          <cell r="C665">
            <v>1</v>
          </cell>
          <cell r="D665">
            <v>52</v>
          </cell>
          <cell r="E665">
            <v>142.040763</v>
          </cell>
          <cell r="F665">
            <v>401.71194300000002</v>
          </cell>
        </row>
        <row r="666">
          <cell r="A666">
            <v>7</v>
          </cell>
          <cell r="B666">
            <v>7522</v>
          </cell>
          <cell r="C666">
            <v>1</v>
          </cell>
          <cell r="D666">
            <v>52</v>
          </cell>
          <cell r="E666">
            <v>120.66927</v>
          </cell>
          <cell r="F666">
            <v>346.90194700000001</v>
          </cell>
        </row>
        <row r="667">
          <cell r="A667">
            <v>7</v>
          </cell>
          <cell r="B667">
            <v>7523</v>
          </cell>
          <cell r="C667">
            <v>1</v>
          </cell>
          <cell r="D667">
            <v>52</v>
          </cell>
          <cell r="E667">
            <v>127.906125</v>
          </cell>
          <cell r="F667">
            <v>368.406384</v>
          </cell>
        </row>
        <row r="668">
          <cell r="A668">
            <v>7</v>
          </cell>
          <cell r="B668">
            <v>7527</v>
          </cell>
          <cell r="C668">
            <v>1</v>
          </cell>
          <cell r="D668">
            <v>52</v>
          </cell>
          <cell r="E668">
            <v>25.211295</v>
          </cell>
          <cell r="F668">
            <v>72.094173999999995</v>
          </cell>
        </row>
        <row r="669">
          <cell r="A669">
            <v>7</v>
          </cell>
          <cell r="B669">
            <v>7530</v>
          </cell>
          <cell r="C669">
            <v>1</v>
          </cell>
          <cell r="D669">
            <v>52</v>
          </cell>
          <cell r="E669">
            <v>20.588339999999999</v>
          </cell>
          <cell r="F669">
            <v>56.19791</v>
          </cell>
        </row>
        <row r="670">
          <cell r="A670">
            <v>7</v>
          </cell>
          <cell r="B670">
            <v>7531</v>
          </cell>
          <cell r="C670">
            <v>1</v>
          </cell>
          <cell r="D670">
            <v>52</v>
          </cell>
          <cell r="E670">
            <v>12.933232</v>
          </cell>
          <cell r="F670">
            <v>37.687083000000001</v>
          </cell>
        </row>
        <row r="671">
          <cell r="A671">
            <v>7</v>
          </cell>
          <cell r="B671">
            <v>7532</v>
          </cell>
          <cell r="C671">
            <v>1</v>
          </cell>
          <cell r="D671">
            <v>52</v>
          </cell>
          <cell r="E671">
            <v>14.194849</v>
          </cell>
          <cell r="F671">
            <v>39.512273</v>
          </cell>
        </row>
        <row r="672">
          <cell r="A672">
            <v>7</v>
          </cell>
          <cell r="B672">
            <v>7533</v>
          </cell>
          <cell r="C672">
            <v>1</v>
          </cell>
          <cell r="D672">
            <v>52</v>
          </cell>
          <cell r="E672">
            <v>8.2030480000000008</v>
          </cell>
          <cell r="F672">
            <v>23.406659999999999</v>
          </cell>
        </row>
        <row r="673">
          <cell r="A673">
            <v>7</v>
          </cell>
          <cell r="B673">
            <v>7534</v>
          </cell>
          <cell r="C673">
            <v>1</v>
          </cell>
          <cell r="D673">
            <v>52</v>
          </cell>
          <cell r="E673">
            <v>13.111335</v>
          </cell>
          <cell r="F673">
            <v>39.289634999999997</v>
          </cell>
        </row>
        <row r="674">
          <cell r="A674">
            <v>7</v>
          </cell>
          <cell r="B674">
            <v>7535</v>
          </cell>
          <cell r="C674">
            <v>1</v>
          </cell>
          <cell r="D674">
            <v>52</v>
          </cell>
          <cell r="E674">
            <v>23.941022</v>
          </cell>
          <cell r="F674">
            <v>68.126915999999994</v>
          </cell>
        </row>
        <row r="675">
          <cell r="A675">
            <v>7</v>
          </cell>
          <cell r="B675">
            <v>7536</v>
          </cell>
          <cell r="C675">
            <v>1</v>
          </cell>
          <cell r="D675">
            <v>52</v>
          </cell>
          <cell r="E675">
            <v>38.857517000000001</v>
          </cell>
          <cell r="F675">
            <v>116.969964</v>
          </cell>
        </row>
        <row r="676">
          <cell r="A676">
            <v>7</v>
          </cell>
          <cell r="B676">
            <v>7537</v>
          </cell>
          <cell r="C676">
            <v>1</v>
          </cell>
          <cell r="D676">
            <v>52</v>
          </cell>
          <cell r="E676">
            <v>21.635947999999999</v>
          </cell>
          <cell r="F676">
            <v>65.119776999999999</v>
          </cell>
        </row>
        <row r="677">
          <cell r="A677">
            <v>7</v>
          </cell>
          <cell r="B677">
            <v>7538</v>
          </cell>
          <cell r="C677">
            <v>1</v>
          </cell>
          <cell r="D677">
            <v>52</v>
          </cell>
          <cell r="E677">
            <v>7.2155750000000003</v>
          </cell>
          <cell r="F677">
            <v>24.056622999999998</v>
          </cell>
        </row>
        <row r="678">
          <cell r="A678">
            <v>7</v>
          </cell>
          <cell r="B678">
            <v>7539</v>
          </cell>
          <cell r="C678">
            <v>1</v>
          </cell>
          <cell r="D678">
            <v>52</v>
          </cell>
          <cell r="E678">
            <v>4.8967799999999997</v>
          </cell>
          <cell r="F678">
            <v>16.15117</v>
          </cell>
        </row>
        <row r="679">
          <cell r="A679">
            <v>7</v>
          </cell>
          <cell r="B679">
            <v>7540</v>
          </cell>
          <cell r="C679">
            <v>1</v>
          </cell>
          <cell r="D679">
            <v>52</v>
          </cell>
          <cell r="E679">
            <v>5.42706</v>
          </cell>
          <cell r="F679">
            <v>15.586086</v>
          </cell>
        </row>
        <row r="680">
          <cell r="A680">
            <v>7</v>
          </cell>
          <cell r="B680">
            <v>7542</v>
          </cell>
          <cell r="C680">
            <v>1</v>
          </cell>
          <cell r="D680">
            <v>52</v>
          </cell>
          <cell r="E680">
            <v>9.0952760000000001</v>
          </cell>
          <cell r="F680">
            <v>26.709095999999999</v>
          </cell>
        </row>
        <row r="681">
          <cell r="A681">
            <v>7</v>
          </cell>
          <cell r="B681">
            <v>7543</v>
          </cell>
          <cell r="C681">
            <v>1</v>
          </cell>
          <cell r="D681">
            <v>52</v>
          </cell>
          <cell r="E681">
            <v>20.308461000000001</v>
          </cell>
          <cell r="F681">
            <v>61.632666999999998</v>
          </cell>
        </row>
        <row r="682">
          <cell r="A682">
            <v>7</v>
          </cell>
          <cell r="B682">
            <v>7545</v>
          </cell>
          <cell r="C682">
            <v>1</v>
          </cell>
          <cell r="D682">
            <v>52</v>
          </cell>
          <cell r="E682">
            <v>11.199916999999999</v>
          </cell>
          <cell r="F682">
            <v>32.333866999999998</v>
          </cell>
        </row>
        <row r="683">
          <cell r="A683">
            <v>7</v>
          </cell>
          <cell r="B683">
            <v>7547</v>
          </cell>
          <cell r="C683">
            <v>1</v>
          </cell>
          <cell r="D683">
            <v>52</v>
          </cell>
          <cell r="E683">
            <v>7.8994169999999997</v>
          </cell>
          <cell r="F683">
            <v>25.688637</v>
          </cell>
        </row>
        <row r="684">
          <cell r="A684">
            <v>7</v>
          </cell>
          <cell r="B684">
            <v>7548</v>
          </cell>
          <cell r="C684">
            <v>1</v>
          </cell>
          <cell r="D684">
            <v>52</v>
          </cell>
          <cell r="E684">
            <v>9.2226350000000004</v>
          </cell>
          <cell r="F684">
            <v>26.433897999999999</v>
          </cell>
        </row>
        <row r="685">
          <cell r="A685">
            <v>7</v>
          </cell>
          <cell r="B685">
            <v>7549</v>
          </cell>
          <cell r="C685">
            <v>1</v>
          </cell>
          <cell r="D685">
            <v>52</v>
          </cell>
          <cell r="E685">
            <v>18.559443000000002</v>
          </cell>
          <cell r="F685">
            <v>56.032451000000002</v>
          </cell>
        </row>
        <row r="686">
          <cell r="A686">
            <v>7</v>
          </cell>
          <cell r="B686">
            <v>7550</v>
          </cell>
          <cell r="C686">
            <v>1</v>
          </cell>
          <cell r="D686">
            <v>52</v>
          </cell>
          <cell r="E686">
            <v>49.831620999999998</v>
          </cell>
          <cell r="F686">
            <v>152.549993</v>
          </cell>
        </row>
        <row r="687">
          <cell r="A687">
            <v>7</v>
          </cell>
          <cell r="B687">
            <v>7551</v>
          </cell>
          <cell r="C687">
            <v>1</v>
          </cell>
          <cell r="D687">
            <v>52</v>
          </cell>
          <cell r="E687">
            <v>19.047685000000001</v>
          </cell>
          <cell r="F687">
            <v>57.977043999999999</v>
          </cell>
        </row>
        <row r="688">
          <cell r="A688">
            <v>7</v>
          </cell>
          <cell r="B688">
            <v>7552</v>
          </cell>
          <cell r="C688">
            <v>1</v>
          </cell>
          <cell r="D688">
            <v>52</v>
          </cell>
          <cell r="E688">
            <v>26.358602999999999</v>
          </cell>
          <cell r="F688">
            <v>76.440726999999995</v>
          </cell>
        </row>
        <row r="689">
          <cell r="A689">
            <v>7</v>
          </cell>
          <cell r="B689">
            <v>7553</v>
          </cell>
          <cell r="C689">
            <v>1</v>
          </cell>
          <cell r="D689">
            <v>52</v>
          </cell>
          <cell r="E689">
            <v>31.296168000000002</v>
          </cell>
          <cell r="F689">
            <v>93.299076999999997</v>
          </cell>
        </row>
        <row r="690">
          <cell r="A690">
            <v>7</v>
          </cell>
          <cell r="B690">
            <v>7555</v>
          </cell>
          <cell r="C690">
            <v>1</v>
          </cell>
          <cell r="D690">
            <v>52</v>
          </cell>
          <cell r="E690">
            <v>35.022407000000001</v>
          </cell>
          <cell r="F690">
            <v>108.464688</v>
          </cell>
        </row>
        <row r="691">
          <cell r="A691">
            <v>7</v>
          </cell>
          <cell r="B691">
            <v>7556</v>
          </cell>
          <cell r="C691">
            <v>1</v>
          </cell>
          <cell r="D691">
            <v>52</v>
          </cell>
          <cell r="E691">
            <v>0.69080399999999997</v>
          </cell>
          <cell r="F691">
            <v>0.69080399999999997</v>
          </cell>
        </row>
        <row r="692">
          <cell r="A692">
            <v>7</v>
          </cell>
          <cell r="B692">
            <v>7557</v>
          </cell>
          <cell r="C692">
            <v>1</v>
          </cell>
          <cell r="D692">
            <v>52</v>
          </cell>
          <cell r="E692">
            <v>0</v>
          </cell>
          <cell r="F692">
            <v>9.3222760000000005</v>
          </cell>
        </row>
        <row r="693">
          <cell r="A693">
            <v>7</v>
          </cell>
          <cell r="B693">
            <v>7558</v>
          </cell>
          <cell r="C693">
            <v>1</v>
          </cell>
          <cell r="D693">
            <v>52</v>
          </cell>
          <cell r="E693">
            <v>4.3006320000000002</v>
          </cell>
          <cell r="F693">
            <v>11.738281000000001</v>
          </cell>
        </row>
        <row r="694">
          <cell r="A694">
            <v>7</v>
          </cell>
          <cell r="B694">
            <v>7559</v>
          </cell>
          <cell r="C694">
            <v>1</v>
          </cell>
          <cell r="D694">
            <v>52</v>
          </cell>
          <cell r="E694">
            <v>0</v>
          </cell>
          <cell r="F694">
            <v>20.500775000000001</v>
          </cell>
        </row>
        <row r="695">
          <cell r="A695">
            <v>7</v>
          </cell>
          <cell r="B695">
            <v>7560</v>
          </cell>
          <cell r="C695">
            <v>1</v>
          </cell>
          <cell r="D695">
            <v>52</v>
          </cell>
          <cell r="E695">
            <v>6.2224750000000002</v>
          </cell>
          <cell r="F695">
            <v>18.519656999999999</v>
          </cell>
        </row>
        <row r="696">
          <cell r="A696">
            <v>7</v>
          </cell>
          <cell r="B696">
            <v>7561</v>
          </cell>
          <cell r="C696">
            <v>1</v>
          </cell>
          <cell r="D696">
            <v>52</v>
          </cell>
          <cell r="E696">
            <v>3.58386</v>
          </cell>
          <cell r="F696">
            <v>9.8166600000000006</v>
          </cell>
        </row>
        <row r="697">
          <cell r="A697">
            <v>7</v>
          </cell>
          <cell r="B697">
            <v>7562</v>
          </cell>
          <cell r="C697">
            <v>1</v>
          </cell>
          <cell r="D697">
            <v>52</v>
          </cell>
          <cell r="E697">
            <v>35.322955999999998</v>
          </cell>
          <cell r="F697">
            <v>100.10045599999999</v>
          </cell>
        </row>
        <row r="698">
          <cell r="A698">
            <v>7</v>
          </cell>
          <cell r="B698">
            <v>7700</v>
          </cell>
          <cell r="C698">
            <v>1</v>
          </cell>
          <cell r="D698">
            <v>51</v>
          </cell>
          <cell r="E698">
            <v>2.3826E-2</v>
          </cell>
          <cell r="F698">
            <v>2.3826E-2</v>
          </cell>
        </row>
        <row r="699">
          <cell r="A699">
            <v>7</v>
          </cell>
          <cell r="B699">
            <v>7700</v>
          </cell>
          <cell r="C699">
            <v>1</v>
          </cell>
          <cell r="D699">
            <v>52</v>
          </cell>
          <cell r="E699">
            <v>1.65</v>
          </cell>
          <cell r="F699">
            <v>5.2116920000000002</v>
          </cell>
        </row>
        <row r="700">
          <cell r="A700">
            <v>7</v>
          </cell>
          <cell r="B700">
            <v>7700</v>
          </cell>
          <cell r="C700">
            <v>1</v>
          </cell>
          <cell r="D700">
            <v>591</v>
          </cell>
          <cell r="E700">
            <v>0.67500000000000004</v>
          </cell>
          <cell r="F700">
            <v>2.0249999999999999</v>
          </cell>
        </row>
        <row r="701">
          <cell r="A701">
            <v>7</v>
          </cell>
          <cell r="B701">
            <v>7701</v>
          </cell>
          <cell r="C701">
            <v>1</v>
          </cell>
          <cell r="D701">
            <v>4</v>
          </cell>
          <cell r="E701">
            <v>-5.0822120000000002</v>
          </cell>
          <cell r="F701">
            <v>-13.561534999999999</v>
          </cell>
        </row>
        <row r="702">
          <cell r="A702">
            <v>7</v>
          </cell>
          <cell r="B702">
            <v>7701</v>
          </cell>
          <cell r="C702">
            <v>1</v>
          </cell>
          <cell r="D702">
            <v>51</v>
          </cell>
          <cell r="E702">
            <v>167.463234</v>
          </cell>
          <cell r="F702">
            <v>535.29538100000002</v>
          </cell>
        </row>
        <row r="703">
          <cell r="A703">
            <v>7</v>
          </cell>
          <cell r="B703">
            <v>7701</v>
          </cell>
          <cell r="C703">
            <v>1</v>
          </cell>
          <cell r="D703">
            <v>52</v>
          </cell>
          <cell r="E703">
            <v>78.740399999999994</v>
          </cell>
          <cell r="F703">
            <v>222.914186</v>
          </cell>
        </row>
        <row r="704">
          <cell r="A704">
            <v>7</v>
          </cell>
          <cell r="B704">
            <v>7701</v>
          </cell>
          <cell r="C704">
            <v>1</v>
          </cell>
          <cell r="D704">
            <v>591</v>
          </cell>
          <cell r="E704">
            <v>5.4131</v>
          </cell>
          <cell r="F704">
            <v>17.061487</v>
          </cell>
        </row>
        <row r="705">
          <cell r="A705">
            <v>7</v>
          </cell>
          <cell r="B705">
            <v>7702</v>
          </cell>
          <cell r="C705">
            <v>1</v>
          </cell>
          <cell r="D705">
            <v>4</v>
          </cell>
          <cell r="E705">
            <v>-7.4112669999999996</v>
          </cell>
          <cell r="F705">
            <v>-16.232576000000002</v>
          </cell>
        </row>
        <row r="706">
          <cell r="A706">
            <v>7</v>
          </cell>
          <cell r="B706">
            <v>7702</v>
          </cell>
          <cell r="C706">
            <v>1</v>
          </cell>
          <cell r="D706">
            <v>51</v>
          </cell>
          <cell r="E706">
            <v>123.67910500000001</v>
          </cell>
          <cell r="F706">
            <v>393.354218</v>
          </cell>
        </row>
        <row r="707">
          <cell r="A707">
            <v>7</v>
          </cell>
          <cell r="B707">
            <v>7702</v>
          </cell>
          <cell r="C707">
            <v>1</v>
          </cell>
          <cell r="D707">
            <v>52</v>
          </cell>
          <cell r="E707">
            <v>42.520645000000002</v>
          </cell>
          <cell r="F707">
            <v>120.554757</v>
          </cell>
        </row>
        <row r="708">
          <cell r="A708">
            <v>7</v>
          </cell>
          <cell r="B708">
            <v>7702</v>
          </cell>
          <cell r="C708">
            <v>1</v>
          </cell>
          <cell r="D708">
            <v>591</v>
          </cell>
          <cell r="E708">
            <v>0.86450499999999997</v>
          </cell>
          <cell r="F708">
            <v>2.2109770000000002</v>
          </cell>
        </row>
        <row r="709">
          <cell r="A709">
            <v>7</v>
          </cell>
          <cell r="B709">
            <v>7703</v>
          </cell>
          <cell r="C709">
            <v>1</v>
          </cell>
          <cell r="D709">
            <v>4</v>
          </cell>
          <cell r="E709">
            <v>-0.72592900000000005</v>
          </cell>
          <cell r="F709">
            <v>-3.123291</v>
          </cell>
        </row>
        <row r="710">
          <cell r="A710">
            <v>7</v>
          </cell>
          <cell r="B710">
            <v>7703</v>
          </cell>
          <cell r="C710">
            <v>1</v>
          </cell>
          <cell r="D710">
            <v>51</v>
          </cell>
          <cell r="E710">
            <v>22.777971999999998</v>
          </cell>
          <cell r="F710">
            <v>74.827809000000002</v>
          </cell>
        </row>
        <row r="711">
          <cell r="A711">
            <v>7</v>
          </cell>
          <cell r="B711">
            <v>7703</v>
          </cell>
          <cell r="C711">
            <v>1</v>
          </cell>
          <cell r="D711">
            <v>52</v>
          </cell>
          <cell r="E711">
            <v>2.688847</v>
          </cell>
          <cell r="F711">
            <v>9.9528660000000002</v>
          </cell>
        </row>
        <row r="712">
          <cell r="A712">
            <v>7</v>
          </cell>
          <cell r="B712">
            <v>7703</v>
          </cell>
          <cell r="C712">
            <v>1</v>
          </cell>
          <cell r="D712">
            <v>591</v>
          </cell>
          <cell r="E712">
            <v>0.21</v>
          </cell>
          <cell r="F712">
            <v>2.4690219999999998</v>
          </cell>
        </row>
        <row r="713">
          <cell r="A713">
            <v>7</v>
          </cell>
          <cell r="B713">
            <v>7704</v>
          </cell>
          <cell r="C713">
            <v>1</v>
          </cell>
          <cell r="D713">
            <v>4</v>
          </cell>
          <cell r="E713">
            <v>0.42129100000000003</v>
          </cell>
          <cell r="F713">
            <v>-0.20577699999999999</v>
          </cell>
        </row>
        <row r="714">
          <cell r="A714">
            <v>7</v>
          </cell>
          <cell r="B714">
            <v>7704</v>
          </cell>
          <cell r="C714">
            <v>1</v>
          </cell>
          <cell r="D714">
            <v>51</v>
          </cell>
          <cell r="E714">
            <v>15.557131</v>
          </cell>
          <cell r="F714">
            <v>47.522989000000003</v>
          </cell>
        </row>
        <row r="715">
          <cell r="A715">
            <v>7</v>
          </cell>
          <cell r="B715">
            <v>7704</v>
          </cell>
          <cell r="C715">
            <v>1</v>
          </cell>
          <cell r="D715">
            <v>52</v>
          </cell>
          <cell r="E715">
            <v>1.843569</v>
          </cell>
          <cell r="F715">
            <v>7.154166</v>
          </cell>
        </row>
        <row r="716">
          <cell r="A716">
            <v>7</v>
          </cell>
          <cell r="B716">
            <v>7705</v>
          </cell>
          <cell r="C716">
            <v>1</v>
          </cell>
          <cell r="D716">
            <v>51</v>
          </cell>
          <cell r="E716">
            <v>9.1680999999999999E-2</v>
          </cell>
          <cell r="F716">
            <v>0.20364299999999999</v>
          </cell>
        </row>
        <row r="717">
          <cell r="A717">
            <v>7</v>
          </cell>
          <cell r="B717">
            <v>7705</v>
          </cell>
          <cell r="C717">
            <v>1</v>
          </cell>
          <cell r="D717">
            <v>52</v>
          </cell>
          <cell r="E717">
            <v>33.440784000000001</v>
          </cell>
          <cell r="F717">
            <v>100.13078400000001</v>
          </cell>
        </row>
        <row r="718">
          <cell r="A718">
            <v>7</v>
          </cell>
          <cell r="B718">
            <v>7706</v>
          </cell>
          <cell r="C718">
            <v>1</v>
          </cell>
          <cell r="D718">
            <v>51</v>
          </cell>
          <cell r="E718">
            <v>5.4835000000000002E-2</v>
          </cell>
          <cell r="F718">
            <v>0.16450500000000001</v>
          </cell>
        </row>
        <row r="719">
          <cell r="A719">
            <v>7</v>
          </cell>
          <cell r="B719">
            <v>7706</v>
          </cell>
          <cell r="C719">
            <v>1</v>
          </cell>
          <cell r="D719">
            <v>52</v>
          </cell>
          <cell r="E719">
            <v>92.98</v>
          </cell>
          <cell r="F719">
            <v>278.94</v>
          </cell>
        </row>
        <row r="720">
          <cell r="A720">
            <v>7</v>
          </cell>
          <cell r="B720">
            <v>7706</v>
          </cell>
          <cell r="C720">
            <v>1</v>
          </cell>
          <cell r="D720">
            <v>591</v>
          </cell>
          <cell r="E720">
            <v>10.28942</v>
          </cell>
          <cell r="F720">
            <v>10.28942</v>
          </cell>
        </row>
        <row r="721">
          <cell r="A721">
            <v>7</v>
          </cell>
          <cell r="B721">
            <v>7707</v>
          </cell>
          <cell r="C721">
            <v>1</v>
          </cell>
          <cell r="D721">
            <v>4</v>
          </cell>
          <cell r="E721">
            <v>-0.19072</v>
          </cell>
          <cell r="F721">
            <v>-8.7035739999999997</v>
          </cell>
        </row>
        <row r="722">
          <cell r="A722">
            <v>7</v>
          </cell>
          <cell r="B722">
            <v>7707</v>
          </cell>
          <cell r="C722">
            <v>1</v>
          </cell>
          <cell r="D722">
            <v>51</v>
          </cell>
          <cell r="E722">
            <v>17.384243000000001</v>
          </cell>
          <cell r="F722">
            <v>53.610945999999998</v>
          </cell>
        </row>
        <row r="723">
          <cell r="A723">
            <v>7</v>
          </cell>
          <cell r="B723">
            <v>7707</v>
          </cell>
          <cell r="C723">
            <v>1</v>
          </cell>
          <cell r="D723">
            <v>52</v>
          </cell>
          <cell r="E723">
            <v>9.0788989999999998</v>
          </cell>
          <cell r="F723">
            <v>28.465001000000001</v>
          </cell>
        </row>
        <row r="724">
          <cell r="A724">
            <v>7</v>
          </cell>
          <cell r="B724">
            <v>7708</v>
          </cell>
          <cell r="C724">
            <v>1</v>
          </cell>
          <cell r="D724">
            <v>4</v>
          </cell>
          <cell r="E724">
            <v>-0.45052700000000001</v>
          </cell>
          <cell r="F724">
            <v>-1.565151</v>
          </cell>
        </row>
        <row r="725">
          <cell r="A725">
            <v>7</v>
          </cell>
          <cell r="B725">
            <v>7708</v>
          </cell>
          <cell r="C725">
            <v>1</v>
          </cell>
          <cell r="D725">
            <v>51</v>
          </cell>
          <cell r="E725">
            <v>27.259736</v>
          </cell>
          <cell r="F725">
            <v>81.375274000000005</v>
          </cell>
        </row>
        <row r="726">
          <cell r="A726">
            <v>7</v>
          </cell>
          <cell r="B726">
            <v>7708</v>
          </cell>
          <cell r="C726">
            <v>1</v>
          </cell>
          <cell r="D726">
            <v>52</v>
          </cell>
          <cell r="E726">
            <v>22.329381999999999</v>
          </cell>
          <cell r="F726">
            <v>63.694717000000004</v>
          </cell>
        </row>
        <row r="727">
          <cell r="A727">
            <v>7</v>
          </cell>
          <cell r="B727">
            <v>7708</v>
          </cell>
          <cell r="C727">
            <v>1</v>
          </cell>
          <cell r="D727">
            <v>591</v>
          </cell>
          <cell r="E727">
            <v>2.6200000000000001E-2</v>
          </cell>
          <cell r="F727">
            <v>2.7699999999999999E-2</v>
          </cell>
        </row>
        <row r="728">
          <cell r="A728">
            <v>7</v>
          </cell>
          <cell r="B728">
            <v>7711</v>
          </cell>
          <cell r="C728">
            <v>1</v>
          </cell>
          <cell r="D728">
            <v>52</v>
          </cell>
          <cell r="E728">
            <v>62.192</v>
          </cell>
          <cell r="F728">
            <v>186.57599999999999</v>
          </cell>
        </row>
        <row r="729">
          <cell r="A729">
            <v>7</v>
          </cell>
          <cell r="B729">
            <v>7720</v>
          </cell>
          <cell r="C729">
            <v>1</v>
          </cell>
          <cell r="D729">
            <v>52</v>
          </cell>
          <cell r="E729">
            <v>31.420999999999999</v>
          </cell>
          <cell r="F729">
            <v>94.263000000000005</v>
          </cell>
        </row>
        <row r="730">
          <cell r="A730">
            <v>7</v>
          </cell>
          <cell r="B730">
            <v>7722</v>
          </cell>
          <cell r="C730">
            <v>1</v>
          </cell>
          <cell r="D730">
            <v>52</v>
          </cell>
          <cell r="E730">
            <v>22.899000000000001</v>
          </cell>
          <cell r="F730">
            <v>68.697000000000003</v>
          </cell>
        </row>
        <row r="731">
          <cell r="A731">
            <v>7</v>
          </cell>
          <cell r="B731">
            <v>7750</v>
          </cell>
          <cell r="C731">
            <v>1</v>
          </cell>
          <cell r="D731">
            <v>4</v>
          </cell>
          <cell r="E731">
            <v>-1.97655</v>
          </cell>
          <cell r="F731">
            <v>-3.0942759999999998</v>
          </cell>
        </row>
        <row r="732">
          <cell r="A732">
            <v>7</v>
          </cell>
          <cell r="B732">
            <v>7750</v>
          </cell>
          <cell r="C732">
            <v>1</v>
          </cell>
          <cell r="D732">
            <v>51</v>
          </cell>
          <cell r="E732">
            <v>26.431612000000001</v>
          </cell>
          <cell r="F732">
            <v>78.781536000000003</v>
          </cell>
        </row>
        <row r="733">
          <cell r="A733">
            <v>7</v>
          </cell>
          <cell r="B733">
            <v>7750</v>
          </cell>
          <cell r="C733">
            <v>1</v>
          </cell>
          <cell r="D733">
            <v>52</v>
          </cell>
          <cell r="E733">
            <v>3.5336449999999999</v>
          </cell>
          <cell r="F733">
            <v>13.622337999999999</v>
          </cell>
        </row>
        <row r="734">
          <cell r="A734">
            <v>7</v>
          </cell>
          <cell r="B734">
            <v>7750</v>
          </cell>
          <cell r="C734">
            <v>1</v>
          </cell>
          <cell r="D734">
            <v>591</v>
          </cell>
          <cell r="E734">
            <v>0.01</v>
          </cell>
          <cell r="F734">
            <v>0.01</v>
          </cell>
        </row>
        <row r="735">
          <cell r="A735">
            <v>7</v>
          </cell>
          <cell r="B735">
            <v>7755</v>
          </cell>
          <cell r="C735">
            <v>1</v>
          </cell>
          <cell r="D735">
            <v>4</v>
          </cell>
          <cell r="E735">
            <v>0</v>
          </cell>
          <cell r="F735">
            <v>-0.24851699999999999</v>
          </cell>
        </row>
        <row r="736">
          <cell r="A736">
            <v>7</v>
          </cell>
          <cell r="B736">
            <v>7755</v>
          </cell>
          <cell r="C736">
            <v>1</v>
          </cell>
          <cell r="D736">
            <v>51</v>
          </cell>
          <cell r="E736">
            <v>12.637738000000001</v>
          </cell>
          <cell r="F736">
            <v>37.318939</v>
          </cell>
        </row>
        <row r="737">
          <cell r="A737">
            <v>7</v>
          </cell>
          <cell r="B737">
            <v>7755</v>
          </cell>
          <cell r="C737">
            <v>1</v>
          </cell>
          <cell r="D737">
            <v>52</v>
          </cell>
          <cell r="E737">
            <v>2.4680460000000002</v>
          </cell>
          <cell r="F737">
            <v>9.9565959999999993</v>
          </cell>
        </row>
        <row r="738">
          <cell r="A738">
            <v>7</v>
          </cell>
          <cell r="B738">
            <v>7755</v>
          </cell>
          <cell r="C738">
            <v>1</v>
          </cell>
          <cell r="D738">
            <v>591</v>
          </cell>
          <cell r="E738">
            <v>6.6744380000000003</v>
          </cell>
          <cell r="F738">
            <v>17.790616</v>
          </cell>
        </row>
        <row r="739">
          <cell r="A739">
            <v>7</v>
          </cell>
          <cell r="B739">
            <v>7795</v>
          </cell>
          <cell r="C739">
            <v>1</v>
          </cell>
          <cell r="D739">
            <v>4</v>
          </cell>
          <cell r="E739">
            <v>-0.12801100000000001</v>
          </cell>
          <cell r="F739">
            <v>-0.38403300000000001</v>
          </cell>
        </row>
        <row r="740">
          <cell r="A740">
            <v>7</v>
          </cell>
          <cell r="B740">
            <v>7795</v>
          </cell>
          <cell r="C740">
            <v>1</v>
          </cell>
          <cell r="D740">
            <v>52</v>
          </cell>
          <cell r="E740">
            <v>1E-3</v>
          </cell>
          <cell r="F740">
            <v>0.107958</v>
          </cell>
        </row>
        <row r="741">
          <cell r="A741">
            <v>7</v>
          </cell>
          <cell r="B741">
            <v>7795</v>
          </cell>
          <cell r="C741">
            <v>5</v>
          </cell>
          <cell r="D741">
            <v>52</v>
          </cell>
          <cell r="E741">
            <v>0.62016099999999996</v>
          </cell>
          <cell r="F741">
            <v>2.2389000000000001</v>
          </cell>
        </row>
        <row r="742">
          <cell r="A742">
            <v>7</v>
          </cell>
          <cell r="B742">
            <v>7795</v>
          </cell>
          <cell r="C742">
            <v>6</v>
          </cell>
          <cell r="D742">
            <v>52</v>
          </cell>
          <cell r="E742">
            <v>0.99524800000000002</v>
          </cell>
          <cell r="F742">
            <v>41.783470000000001</v>
          </cell>
        </row>
        <row r="743">
          <cell r="A743">
            <v>7</v>
          </cell>
          <cell r="B743">
            <v>7795</v>
          </cell>
          <cell r="C743">
            <v>6</v>
          </cell>
          <cell r="D743">
            <v>591</v>
          </cell>
          <cell r="E743">
            <v>17.845656000000002</v>
          </cell>
          <cell r="F743">
            <v>42.845655999999998</v>
          </cell>
        </row>
        <row r="744">
          <cell r="A744">
            <v>7</v>
          </cell>
          <cell r="B744">
            <v>7821</v>
          </cell>
          <cell r="C744">
            <v>1</v>
          </cell>
          <cell r="D744">
            <v>4</v>
          </cell>
          <cell r="E744">
            <v>-8.3810470000000006</v>
          </cell>
          <cell r="F744">
            <v>-23.239889999999999</v>
          </cell>
        </row>
        <row r="745">
          <cell r="A745">
            <v>7</v>
          </cell>
          <cell r="B745">
            <v>7821</v>
          </cell>
          <cell r="C745">
            <v>1</v>
          </cell>
          <cell r="D745">
            <v>51</v>
          </cell>
          <cell r="E745">
            <v>53.719355999999998</v>
          </cell>
          <cell r="F745">
            <v>160.29125999999999</v>
          </cell>
        </row>
        <row r="746">
          <cell r="A746">
            <v>7</v>
          </cell>
          <cell r="B746">
            <v>7821</v>
          </cell>
          <cell r="C746">
            <v>1</v>
          </cell>
          <cell r="D746">
            <v>52</v>
          </cell>
          <cell r="E746">
            <v>26.519017999999999</v>
          </cell>
          <cell r="F746">
            <v>68.229303000000002</v>
          </cell>
        </row>
        <row r="747">
          <cell r="A747">
            <v>7</v>
          </cell>
          <cell r="B747">
            <v>7821</v>
          </cell>
          <cell r="C747">
            <v>1</v>
          </cell>
          <cell r="D747">
            <v>591</v>
          </cell>
          <cell r="E747">
            <v>0.10199999999999999</v>
          </cell>
          <cell r="F747">
            <v>0.10199999999999999</v>
          </cell>
        </row>
        <row r="748">
          <cell r="A748">
            <v>7</v>
          </cell>
          <cell r="B748">
            <v>7825</v>
          </cell>
          <cell r="C748">
            <v>1</v>
          </cell>
          <cell r="D748">
            <v>4</v>
          </cell>
          <cell r="E748">
            <v>-5.3526999999999998E-2</v>
          </cell>
          <cell r="F748">
            <v>0.69741600000000004</v>
          </cell>
        </row>
        <row r="749">
          <cell r="A749">
            <v>7</v>
          </cell>
          <cell r="B749">
            <v>7825</v>
          </cell>
          <cell r="C749">
            <v>1</v>
          </cell>
          <cell r="D749">
            <v>591</v>
          </cell>
          <cell r="E749">
            <v>775.08294899999999</v>
          </cell>
          <cell r="F749">
            <v>2310.7612330000002</v>
          </cell>
        </row>
        <row r="750">
          <cell r="A750">
            <v>7</v>
          </cell>
          <cell r="B750">
            <v>7827</v>
          </cell>
          <cell r="C750">
            <v>1</v>
          </cell>
          <cell r="D750">
            <v>4</v>
          </cell>
          <cell r="E750">
            <v>-2.7254E-2</v>
          </cell>
          <cell r="F750">
            <v>-1.058943</v>
          </cell>
        </row>
        <row r="751">
          <cell r="A751">
            <v>7</v>
          </cell>
          <cell r="B751">
            <v>7827</v>
          </cell>
          <cell r="C751">
            <v>1</v>
          </cell>
          <cell r="D751">
            <v>52</v>
          </cell>
          <cell r="E751">
            <v>16.244793999999999</v>
          </cell>
          <cell r="F751">
            <v>23.313099000000001</v>
          </cell>
        </row>
        <row r="752">
          <cell r="A752">
            <v>7</v>
          </cell>
          <cell r="B752">
            <v>7827</v>
          </cell>
          <cell r="C752">
            <v>1</v>
          </cell>
          <cell r="D752">
            <v>591</v>
          </cell>
          <cell r="E752">
            <v>3787.2855939999999</v>
          </cell>
          <cell r="F752">
            <v>11190.392252</v>
          </cell>
        </row>
        <row r="753">
          <cell r="A753">
            <v>7</v>
          </cell>
          <cell r="B753">
            <v>7831</v>
          </cell>
          <cell r="C753">
            <v>1</v>
          </cell>
          <cell r="D753">
            <v>52</v>
          </cell>
          <cell r="E753">
            <v>-3.8048820000000001</v>
          </cell>
          <cell r="F753">
            <v>-2.7415280000000002</v>
          </cell>
        </row>
        <row r="754">
          <cell r="A754">
            <v>7</v>
          </cell>
          <cell r="B754">
            <v>7831</v>
          </cell>
          <cell r="C754">
            <v>1</v>
          </cell>
          <cell r="D754">
            <v>591</v>
          </cell>
          <cell r="E754">
            <v>11.621874</v>
          </cell>
          <cell r="F754">
            <v>17.523347999999999</v>
          </cell>
        </row>
        <row r="755">
          <cell r="A755">
            <v>7</v>
          </cell>
          <cell r="B755">
            <v>7980</v>
          </cell>
          <cell r="C755">
            <v>1</v>
          </cell>
          <cell r="D755">
            <v>4</v>
          </cell>
          <cell r="E755">
            <v>-55.64</v>
          </cell>
          <cell r="F755">
            <v>-177.59962200000001</v>
          </cell>
        </row>
        <row r="756">
          <cell r="A756">
            <v>7</v>
          </cell>
          <cell r="B756">
            <v>7980</v>
          </cell>
          <cell r="C756">
            <v>1</v>
          </cell>
          <cell r="D756">
            <v>51</v>
          </cell>
          <cell r="E756">
            <v>56.552840000000003</v>
          </cell>
          <cell r="F756">
            <v>165.386077</v>
          </cell>
        </row>
        <row r="757">
          <cell r="A757">
            <v>7</v>
          </cell>
          <cell r="B757">
            <v>7980</v>
          </cell>
          <cell r="C757">
            <v>1</v>
          </cell>
          <cell r="D757">
            <v>52</v>
          </cell>
          <cell r="E757">
            <v>20.841866</v>
          </cell>
          <cell r="F757">
            <v>58.045293000000001</v>
          </cell>
        </row>
        <row r="758">
          <cell r="A758">
            <v>7</v>
          </cell>
          <cell r="B758">
            <v>7980</v>
          </cell>
          <cell r="C758">
            <v>1</v>
          </cell>
          <cell r="D758">
            <v>591</v>
          </cell>
          <cell r="E758">
            <v>0.52607999999999999</v>
          </cell>
          <cell r="F758">
            <v>1.05216</v>
          </cell>
        </row>
        <row r="759">
          <cell r="A759">
            <v>7</v>
          </cell>
          <cell r="B759">
            <v>7981</v>
          </cell>
          <cell r="C759">
            <v>1</v>
          </cell>
          <cell r="D759">
            <v>51</v>
          </cell>
          <cell r="E759">
            <v>0.60299899999999995</v>
          </cell>
          <cell r="F759">
            <v>1.8902669999999999</v>
          </cell>
        </row>
        <row r="760">
          <cell r="A760">
            <v>7</v>
          </cell>
          <cell r="B760">
            <v>7981</v>
          </cell>
          <cell r="C760">
            <v>1</v>
          </cell>
          <cell r="D760">
            <v>52</v>
          </cell>
          <cell r="E760">
            <v>7.8248999999999999E-2</v>
          </cell>
          <cell r="F760">
            <v>0.23474700000000001</v>
          </cell>
        </row>
        <row r="761">
          <cell r="A761">
            <v>7</v>
          </cell>
          <cell r="B761">
            <v>7981</v>
          </cell>
          <cell r="C761">
            <v>1</v>
          </cell>
          <cell r="D761">
            <v>591</v>
          </cell>
          <cell r="E761">
            <v>0</v>
          </cell>
          <cell r="F761">
            <v>17.476116000000001</v>
          </cell>
        </row>
        <row r="762">
          <cell r="A762">
            <v>7</v>
          </cell>
          <cell r="B762">
            <v>7982</v>
          </cell>
          <cell r="C762">
            <v>1</v>
          </cell>
          <cell r="D762">
            <v>51</v>
          </cell>
          <cell r="E762">
            <v>6.4820000000000003E-2</v>
          </cell>
          <cell r="F762">
            <v>0.19445999999999999</v>
          </cell>
        </row>
        <row r="763">
          <cell r="A763">
            <v>7</v>
          </cell>
          <cell r="B763">
            <v>7982</v>
          </cell>
          <cell r="C763">
            <v>1</v>
          </cell>
          <cell r="D763">
            <v>52</v>
          </cell>
          <cell r="E763">
            <v>41.83155</v>
          </cell>
          <cell r="F763">
            <v>100.572418</v>
          </cell>
        </row>
        <row r="764">
          <cell r="A764">
            <v>7</v>
          </cell>
          <cell r="B764">
            <v>7982</v>
          </cell>
          <cell r="C764">
            <v>1</v>
          </cell>
          <cell r="D764">
            <v>591</v>
          </cell>
          <cell r="E764">
            <v>131.17506499999999</v>
          </cell>
          <cell r="F764">
            <v>284.02343100000002</v>
          </cell>
        </row>
        <row r="765">
          <cell r="A765">
            <v>7</v>
          </cell>
          <cell r="B765">
            <v>7983</v>
          </cell>
          <cell r="C765">
            <v>1</v>
          </cell>
          <cell r="D765">
            <v>52</v>
          </cell>
          <cell r="E765">
            <v>0</v>
          </cell>
          <cell r="F765">
            <v>4.1E-5</v>
          </cell>
        </row>
        <row r="766">
          <cell r="A766">
            <v>7</v>
          </cell>
          <cell r="B766">
            <v>7983</v>
          </cell>
          <cell r="C766">
            <v>1</v>
          </cell>
          <cell r="D766">
            <v>591</v>
          </cell>
          <cell r="E766">
            <v>7.6437549999999996</v>
          </cell>
          <cell r="F766">
            <v>22.407796999999999</v>
          </cell>
        </row>
        <row r="767">
          <cell r="A767">
            <v>7</v>
          </cell>
          <cell r="B767">
            <v>7984</v>
          </cell>
          <cell r="C767">
            <v>1</v>
          </cell>
          <cell r="D767">
            <v>4</v>
          </cell>
          <cell r="E767">
            <v>-1.8944460000000001</v>
          </cell>
          <cell r="F767">
            <v>-4.2062390000000001</v>
          </cell>
        </row>
        <row r="768">
          <cell r="A768">
            <v>7</v>
          </cell>
          <cell r="B768">
            <v>7984</v>
          </cell>
          <cell r="C768">
            <v>1</v>
          </cell>
          <cell r="D768">
            <v>51</v>
          </cell>
          <cell r="E768">
            <v>2.5151759999999999</v>
          </cell>
          <cell r="F768">
            <v>7.723115</v>
          </cell>
        </row>
        <row r="769">
          <cell r="A769">
            <v>7</v>
          </cell>
          <cell r="B769">
            <v>7984</v>
          </cell>
          <cell r="C769">
            <v>1</v>
          </cell>
          <cell r="D769">
            <v>52</v>
          </cell>
          <cell r="E769">
            <v>93.393626999999995</v>
          </cell>
          <cell r="F769">
            <v>208.61965699999999</v>
          </cell>
        </row>
        <row r="770">
          <cell r="A770">
            <v>7</v>
          </cell>
          <cell r="B770">
            <v>7984</v>
          </cell>
          <cell r="C770">
            <v>1</v>
          </cell>
          <cell r="D770">
            <v>591</v>
          </cell>
          <cell r="E770">
            <v>2102.234633</v>
          </cell>
          <cell r="F770">
            <v>6579.30638</v>
          </cell>
        </row>
        <row r="771">
          <cell r="A771">
            <v>7</v>
          </cell>
          <cell r="B771">
            <v>7985</v>
          </cell>
          <cell r="C771">
            <v>1</v>
          </cell>
          <cell r="D771">
            <v>591</v>
          </cell>
          <cell r="E771">
            <v>1.4159999999999999</v>
          </cell>
          <cell r="F771">
            <v>4.2480000000000002</v>
          </cell>
        </row>
        <row r="772">
          <cell r="A772">
            <v>7</v>
          </cell>
          <cell r="B772">
            <v>7987</v>
          </cell>
          <cell r="C772">
            <v>1</v>
          </cell>
          <cell r="D772">
            <v>51</v>
          </cell>
          <cell r="E772">
            <v>5.3032999999999997E-2</v>
          </cell>
          <cell r="F772">
            <v>0.15909899999999999</v>
          </cell>
        </row>
        <row r="773">
          <cell r="A773">
            <v>7</v>
          </cell>
          <cell r="B773">
            <v>7987</v>
          </cell>
          <cell r="C773">
            <v>1</v>
          </cell>
          <cell r="D773">
            <v>591</v>
          </cell>
          <cell r="E773">
            <v>2.584902</v>
          </cell>
          <cell r="F773">
            <v>5.7655010000000004</v>
          </cell>
        </row>
        <row r="774">
          <cell r="A774">
            <v>7</v>
          </cell>
          <cell r="B774">
            <v>7989</v>
          </cell>
          <cell r="C774">
            <v>1</v>
          </cell>
          <cell r="D774">
            <v>4</v>
          </cell>
          <cell r="E774">
            <v>-0.365985</v>
          </cell>
          <cell r="F774">
            <v>-0.23656199999999999</v>
          </cell>
        </row>
        <row r="775">
          <cell r="A775">
            <v>7</v>
          </cell>
          <cell r="B775">
            <v>7989</v>
          </cell>
          <cell r="C775">
            <v>1</v>
          </cell>
          <cell r="D775">
            <v>52</v>
          </cell>
          <cell r="E775">
            <v>7.4001999999999999</v>
          </cell>
          <cell r="F775">
            <v>22.204785000000001</v>
          </cell>
        </row>
        <row r="776">
          <cell r="A776">
            <v>7</v>
          </cell>
          <cell r="B776">
            <v>7989</v>
          </cell>
          <cell r="C776">
            <v>1</v>
          </cell>
          <cell r="D776">
            <v>591</v>
          </cell>
          <cell r="E776">
            <v>764.87610199999995</v>
          </cell>
          <cell r="F776">
            <v>2379.946629</v>
          </cell>
        </row>
        <row r="777">
          <cell r="A777">
            <v>7</v>
          </cell>
          <cell r="B777">
            <v>7999</v>
          </cell>
          <cell r="C777">
            <v>1</v>
          </cell>
          <cell r="D777">
            <v>51</v>
          </cell>
          <cell r="E777">
            <v>16.276655999999999</v>
          </cell>
          <cell r="F777">
            <v>46.382719000000002</v>
          </cell>
        </row>
        <row r="778">
          <cell r="A778">
            <v>7</v>
          </cell>
          <cell r="B778">
            <v>7999</v>
          </cell>
          <cell r="C778">
            <v>1</v>
          </cell>
          <cell r="D778">
            <v>52</v>
          </cell>
          <cell r="E778">
            <v>4.6840140000000003</v>
          </cell>
          <cell r="F778">
            <v>13.118016000000001</v>
          </cell>
        </row>
        <row r="779">
          <cell r="A779">
            <v>7</v>
          </cell>
          <cell r="B779">
            <v>7999</v>
          </cell>
          <cell r="C779">
            <v>1</v>
          </cell>
          <cell r="D779">
            <v>591</v>
          </cell>
          <cell r="E779">
            <v>26.071999999999999</v>
          </cell>
          <cell r="F779">
            <v>79.316000000000003</v>
          </cell>
        </row>
        <row r="780">
          <cell r="A780">
            <v>8</v>
          </cell>
          <cell r="B780">
            <v>8101</v>
          </cell>
          <cell r="C780">
            <v>1</v>
          </cell>
          <cell r="D780">
            <v>4</v>
          </cell>
          <cell r="E780">
            <v>-0.41649999999999998</v>
          </cell>
          <cell r="F780">
            <v>-2.4163299999999999</v>
          </cell>
        </row>
        <row r="781">
          <cell r="A781">
            <v>8</v>
          </cell>
          <cell r="B781">
            <v>8101</v>
          </cell>
          <cell r="C781">
            <v>1</v>
          </cell>
          <cell r="D781">
            <v>51</v>
          </cell>
          <cell r="E781">
            <v>32.970193999999999</v>
          </cell>
          <cell r="F781">
            <v>97.047099000000003</v>
          </cell>
        </row>
        <row r="782">
          <cell r="A782">
            <v>8</v>
          </cell>
          <cell r="B782">
            <v>8101</v>
          </cell>
          <cell r="C782">
            <v>1</v>
          </cell>
          <cell r="D782">
            <v>52</v>
          </cell>
          <cell r="E782">
            <v>12.729766</v>
          </cell>
          <cell r="F782">
            <v>36.658034999999998</v>
          </cell>
        </row>
        <row r="783">
          <cell r="A783">
            <v>8</v>
          </cell>
          <cell r="B783">
            <v>8101</v>
          </cell>
          <cell r="C783">
            <v>1</v>
          </cell>
          <cell r="D783">
            <v>591</v>
          </cell>
          <cell r="E783">
            <v>5.0000000000000001E-3</v>
          </cell>
          <cell r="F783">
            <v>1.9E-2</v>
          </cell>
        </row>
        <row r="784">
          <cell r="A784">
            <v>8</v>
          </cell>
          <cell r="B784">
            <v>8202</v>
          </cell>
          <cell r="C784">
            <v>1</v>
          </cell>
          <cell r="D784">
            <v>4</v>
          </cell>
          <cell r="E784">
            <v>0</v>
          </cell>
          <cell r="F784">
            <v>-23.785247999999999</v>
          </cell>
        </row>
        <row r="785">
          <cell r="A785">
            <v>8</v>
          </cell>
          <cell r="B785">
            <v>8202</v>
          </cell>
          <cell r="C785">
            <v>1</v>
          </cell>
          <cell r="D785">
            <v>51</v>
          </cell>
          <cell r="E785">
            <v>46.584757000000003</v>
          </cell>
          <cell r="F785">
            <v>137.07609400000001</v>
          </cell>
        </row>
        <row r="786">
          <cell r="A786">
            <v>8</v>
          </cell>
          <cell r="B786">
            <v>8202</v>
          </cell>
          <cell r="C786">
            <v>1</v>
          </cell>
          <cell r="D786">
            <v>52</v>
          </cell>
          <cell r="E786">
            <v>31.694365000000001</v>
          </cell>
          <cell r="F786">
            <v>81.91498</v>
          </cell>
        </row>
        <row r="787">
          <cell r="A787">
            <v>8</v>
          </cell>
          <cell r="B787">
            <v>8202</v>
          </cell>
          <cell r="C787">
            <v>1</v>
          </cell>
          <cell r="D787">
            <v>591</v>
          </cell>
          <cell r="E787">
            <v>0.05</v>
          </cell>
          <cell r="F787">
            <v>0.05</v>
          </cell>
        </row>
        <row r="788">
          <cell r="A788">
            <v>8</v>
          </cell>
          <cell r="B788">
            <v>8206</v>
          </cell>
          <cell r="C788">
            <v>1</v>
          </cell>
          <cell r="D788">
            <v>4</v>
          </cell>
          <cell r="E788">
            <v>5.8743999999999998E-2</v>
          </cell>
          <cell r="F788">
            <v>5.8743999999999998E-2</v>
          </cell>
        </row>
        <row r="789">
          <cell r="A789">
            <v>8</v>
          </cell>
          <cell r="B789">
            <v>8206</v>
          </cell>
          <cell r="C789">
            <v>1</v>
          </cell>
          <cell r="D789">
            <v>51</v>
          </cell>
          <cell r="E789">
            <v>2.3630999999999999E-2</v>
          </cell>
          <cell r="F789">
            <v>7.0446999999999996E-2</v>
          </cell>
        </row>
        <row r="790">
          <cell r="A790">
            <v>8</v>
          </cell>
          <cell r="B790">
            <v>8206</v>
          </cell>
          <cell r="C790">
            <v>1</v>
          </cell>
          <cell r="D790">
            <v>52</v>
          </cell>
          <cell r="E790">
            <v>-3.1020000000000002E-3</v>
          </cell>
          <cell r="F790">
            <v>2.8E-5</v>
          </cell>
        </row>
        <row r="791">
          <cell r="A791">
            <v>8</v>
          </cell>
          <cell r="B791">
            <v>8206</v>
          </cell>
          <cell r="C791">
            <v>1</v>
          </cell>
          <cell r="D791">
            <v>591</v>
          </cell>
          <cell r="E791">
            <v>2642.2484009999998</v>
          </cell>
          <cell r="F791">
            <v>6917.2724509999998</v>
          </cell>
        </row>
        <row r="792">
          <cell r="A792">
            <v>8</v>
          </cell>
          <cell r="B792">
            <v>8208</v>
          </cell>
          <cell r="C792">
            <v>1</v>
          </cell>
          <cell r="D792">
            <v>4</v>
          </cell>
          <cell r="E792">
            <v>-0.318965</v>
          </cell>
          <cell r="F792">
            <v>-0.318965</v>
          </cell>
        </row>
        <row r="793">
          <cell r="A793">
            <v>8</v>
          </cell>
          <cell r="B793">
            <v>8208</v>
          </cell>
          <cell r="C793">
            <v>1</v>
          </cell>
          <cell r="D793">
            <v>591</v>
          </cell>
          <cell r="E793">
            <v>58.025115</v>
          </cell>
          <cell r="F793">
            <v>145.724459</v>
          </cell>
        </row>
        <row r="794">
          <cell r="A794">
            <v>8</v>
          </cell>
          <cell r="B794">
            <v>8209</v>
          </cell>
          <cell r="C794">
            <v>1</v>
          </cell>
          <cell r="D794">
            <v>52</v>
          </cell>
          <cell r="E794">
            <v>0.75374300000000005</v>
          </cell>
          <cell r="F794">
            <v>2.4785539999999999</v>
          </cell>
        </row>
        <row r="795">
          <cell r="A795">
            <v>8</v>
          </cell>
          <cell r="B795">
            <v>8209</v>
          </cell>
          <cell r="C795">
            <v>1</v>
          </cell>
          <cell r="D795">
            <v>591</v>
          </cell>
          <cell r="E795">
            <v>4.1539299999999999</v>
          </cell>
          <cell r="F795">
            <v>14.739827999999999</v>
          </cell>
        </row>
        <row r="796">
          <cell r="A796">
            <v>8</v>
          </cell>
          <cell r="B796">
            <v>8301</v>
          </cell>
          <cell r="C796">
            <v>1</v>
          </cell>
          <cell r="D796">
            <v>4</v>
          </cell>
          <cell r="E796">
            <v>-0.141015</v>
          </cell>
          <cell r="F796">
            <v>-0.50454200000000005</v>
          </cell>
        </row>
        <row r="797">
          <cell r="A797">
            <v>8</v>
          </cell>
          <cell r="B797">
            <v>8301</v>
          </cell>
          <cell r="C797">
            <v>1</v>
          </cell>
          <cell r="D797">
            <v>51</v>
          </cell>
          <cell r="E797">
            <v>18.897300999999999</v>
          </cell>
          <cell r="F797">
            <v>55.611637999999999</v>
          </cell>
        </row>
        <row r="798">
          <cell r="A798">
            <v>8</v>
          </cell>
          <cell r="B798">
            <v>8301</v>
          </cell>
          <cell r="C798">
            <v>1</v>
          </cell>
          <cell r="D798">
            <v>52</v>
          </cell>
          <cell r="E798">
            <v>7.0799519999999996</v>
          </cell>
          <cell r="F798">
            <v>22.046511000000002</v>
          </cell>
        </row>
        <row r="799">
          <cell r="A799">
            <v>8</v>
          </cell>
          <cell r="B799">
            <v>8305</v>
          </cell>
          <cell r="C799">
            <v>1</v>
          </cell>
          <cell r="D799">
            <v>4</v>
          </cell>
          <cell r="E799">
            <v>-3.3040940000000001</v>
          </cell>
          <cell r="F799">
            <v>-3.3442440000000002</v>
          </cell>
        </row>
        <row r="800">
          <cell r="A800">
            <v>8</v>
          </cell>
          <cell r="B800">
            <v>8305</v>
          </cell>
          <cell r="C800">
            <v>1</v>
          </cell>
          <cell r="D800">
            <v>51</v>
          </cell>
          <cell r="E800">
            <v>12.201433</v>
          </cell>
          <cell r="F800">
            <v>35.565235000000001</v>
          </cell>
        </row>
        <row r="801">
          <cell r="A801">
            <v>8</v>
          </cell>
          <cell r="B801">
            <v>8305</v>
          </cell>
          <cell r="C801">
            <v>1</v>
          </cell>
          <cell r="D801">
            <v>52</v>
          </cell>
          <cell r="E801">
            <v>3.7356370000000001</v>
          </cell>
          <cell r="F801">
            <v>13.547262</v>
          </cell>
        </row>
        <row r="802">
          <cell r="A802">
            <v>8</v>
          </cell>
          <cell r="B802">
            <v>8305</v>
          </cell>
          <cell r="C802">
            <v>1</v>
          </cell>
          <cell r="D802">
            <v>591</v>
          </cell>
          <cell r="E802">
            <v>0.61874899999999999</v>
          </cell>
          <cell r="F802">
            <v>0.94774899999999995</v>
          </cell>
        </row>
        <row r="803">
          <cell r="A803">
            <v>8</v>
          </cell>
          <cell r="B803">
            <v>8324</v>
          </cell>
          <cell r="C803">
            <v>1</v>
          </cell>
          <cell r="D803">
            <v>4</v>
          </cell>
          <cell r="E803">
            <v>-9.5376080000000005</v>
          </cell>
          <cell r="F803">
            <v>-26.145095999999999</v>
          </cell>
        </row>
        <row r="804">
          <cell r="A804">
            <v>8</v>
          </cell>
          <cell r="B804">
            <v>8324</v>
          </cell>
          <cell r="C804">
            <v>1</v>
          </cell>
          <cell r="D804">
            <v>51</v>
          </cell>
          <cell r="E804">
            <v>7.4153840000000004</v>
          </cell>
          <cell r="F804">
            <v>22.836084</v>
          </cell>
        </row>
        <row r="805">
          <cell r="A805">
            <v>8</v>
          </cell>
          <cell r="B805">
            <v>8324</v>
          </cell>
          <cell r="C805">
            <v>1</v>
          </cell>
          <cell r="D805">
            <v>52</v>
          </cell>
          <cell r="E805">
            <v>22.203410999999999</v>
          </cell>
          <cell r="F805">
            <v>52.740484000000002</v>
          </cell>
        </row>
        <row r="806">
          <cell r="A806">
            <v>8</v>
          </cell>
          <cell r="B806">
            <v>8324</v>
          </cell>
          <cell r="C806">
            <v>1</v>
          </cell>
          <cell r="D806">
            <v>591</v>
          </cell>
          <cell r="E806">
            <v>0.09</v>
          </cell>
          <cell r="F806">
            <v>0.26999000000000001</v>
          </cell>
        </row>
        <row r="807">
          <cell r="A807">
            <v>8</v>
          </cell>
          <cell r="B807">
            <v>8327</v>
          </cell>
          <cell r="C807">
            <v>1</v>
          </cell>
          <cell r="D807">
            <v>4</v>
          </cell>
          <cell r="E807">
            <v>0</v>
          </cell>
          <cell r="F807">
            <v>-33.613140000000001</v>
          </cell>
        </row>
        <row r="808">
          <cell r="A808">
            <v>8</v>
          </cell>
          <cell r="B808">
            <v>8327</v>
          </cell>
          <cell r="C808">
            <v>1</v>
          </cell>
          <cell r="D808">
            <v>51</v>
          </cell>
          <cell r="E808">
            <v>6.0359030000000002</v>
          </cell>
          <cell r="F808">
            <v>16.568947000000001</v>
          </cell>
        </row>
        <row r="809">
          <cell r="A809">
            <v>8</v>
          </cell>
          <cell r="B809">
            <v>8327</v>
          </cell>
          <cell r="C809">
            <v>1</v>
          </cell>
          <cell r="D809">
            <v>52</v>
          </cell>
          <cell r="E809">
            <v>2.425271</v>
          </cell>
          <cell r="F809">
            <v>7.0776620000000001</v>
          </cell>
        </row>
        <row r="810">
          <cell r="A810">
            <v>8</v>
          </cell>
          <cell r="B810">
            <v>8327</v>
          </cell>
          <cell r="C810">
            <v>1</v>
          </cell>
          <cell r="D810">
            <v>591</v>
          </cell>
          <cell r="E810">
            <v>0.174931</v>
          </cell>
          <cell r="F810">
            <v>4.2721070000000001</v>
          </cell>
        </row>
        <row r="811">
          <cell r="A811">
            <v>8</v>
          </cell>
          <cell r="B811">
            <v>8340</v>
          </cell>
          <cell r="C811">
            <v>1</v>
          </cell>
          <cell r="D811">
            <v>52</v>
          </cell>
          <cell r="E811">
            <v>24.946999999999999</v>
          </cell>
          <cell r="F811">
            <v>73.376000000000005</v>
          </cell>
        </row>
        <row r="812">
          <cell r="A812">
            <v>8</v>
          </cell>
          <cell r="B812">
            <v>8340</v>
          </cell>
          <cell r="C812">
            <v>6</v>
          </cell>
          <cell r="D812">
            <v>591</v>
          </cell>
          <cell r="E812">
            <v>0.35</v>
          </cell>
          <cell r="F812">
            <v>10.35</v>
          </cell>
        </row>
        <row r="813">
          <cell r="A813">
            <v>8</v>
          </cell>
          <cell r="B813">
            <v>8358</v>
          </cell>
          <cell r="C813">
            <v>1</v>
          </cell>
          <cell r="D813">
            <v>4</v>
          </cell>
          <cell r="E813">
            <v>-45.164681999999999</v>
          </cell>
          <cell r="F813">
            <v>-128.75429600000001</v>
          </cell>
        </row>
        <row r="814">
          <cell r="A814">
            <v>8</v>
          </cell>
          <cell r="B814">
            <v>8358</v>
          </cell>
          <cell r="C814">
            <v>1</v>
          </cell>
          <cell r="D814">
            <v>51</v>
          </cell>
          <cell r="E814">
            <v>255.35989599999999</v>
          </cell>
          <cell r="F814">
            <v>761.70545700000002</v>
          </cell>
        </row>
        <row r="815">
          <cell r="A815">
            <v>8</v>
          </cell>
          <cell r="B815">
            <v>8358</v>
          </cell>
          <cell r="C815">
            <v>1</v>
          </cell>
          <cell r="D815">
            <v>52</v>
          </cell>
          <cell r="E815">
            <v>120.770577</v>
          </cell>
          <cell r="F815">
            <v>337.486604</v>
          </cell>
        </row>
        <row r="816">
          <cell r="A816">
            <v>8</v>
          </cell>
          <cell r="B816">
            <v>8358</v>
          </cell>
          <cell r="C816">
            <v>5</v>
          </cell>
          <cell r="D816">
            <v>52</v>
          </cell>
          <cell r="E816">
            <v>0.52338499999999999</v>
          </cell>
          <cell r="F816">
            <v>18.569115</v>
          </cell>
        </row>
        <row r="817">
          <cell r="A817">
            <v>8</v>
          </cell>
          <cell r="B817">
            <v>8358</v>
          </cell>
          <cell r="C817">
            <v>6</v>
          </cell>
          <cell r="D817">
            <v>52</v>
          </cell>
          <cell r="E817">
            <v>13.37191</v>
          </cell>
          <cell r="F817">
            <v>29.866582000000001</v>
          </cell>
        </row>
        <row r="818">
          <cell r="A818">
            <v>8</v>
          </cell>
          <cell r="B818">
            <v>8373</v>
          </cell>
          <cell r="C818">
            <v>1</v>
          </cell>
          <cell r="D818">
            <v>4</v>
          </cell>
          <cell r="E818">
            <v>142.92380800000001</v>
          </cell>
          <cell r="F818">
            <v>-357.321192</v>
          </cell>
        </row>
        <row r="819">
          <cell r="A819">
            <v>8</v>
          </cell>
          <cell r="B819">
            <v>8373</v>
          </cell>
          <cell r="C819">
            <v>1</v>
          </cell>
          <cell r="D819">
            <v>51</v>
          </cell>
          <cell r="E819">
            <v>2025.2473359999999</v>
          </cell>
          <cell r="F819">
            <v>6316.9677410000004</v>
          </cell>
        </row>
        <row r="820">
          <cell r="A820">
            <v>8</v>
          </cell>
          <cell r="B820">
            <v>8373</v>
          </cell>
          <cell r="C820">
            <v>1</v>
          </cell>
          <cell r="D820">
            <v>52</v>
          </cell>
          <cell r="E820">
            <v>346.62974800000001</v>
          </cell>
          <cell r="F820">
            <v>2032.0055430000002</v>
          </cell>
        </row>
        <row r="821">
          <cell r="A821">
            <v>8</v>
          </cell>
          <cell r="B821">
            <v>8373</v>
          </cell>
          <cell r="C821">
            <v>1</v>
          </cell>
          <cell r="D821">
            <v>591</v>
          </cell>
          <cell r="E821">
            <v>14.828322999999999</v>
          </cell>
          <cell r="F821">
            <v>14.828322999999999</v>
          </cell>
        </row>
        <row r="822">
          <cell r="A822">
            <v>8</v>
          </cell>
          <cell r="B822">
            <v>8373</v>
          </cell>
          <cell r="C822">
            <v>5</v>
          </cell>
          <cell r="D822">
            <v>52</v>
          </cell>
          <cell r="E822">
            <v>123.390435</v>
          </cell>
          <cell r="F822">
            <v>231.60693499999999</v>
          </cell>
        </row>
        <row r="823">
          <cell r="A823">
            <v>8</v>
          </cell>
          <cell r="B823">
            <v>8373</v>
          </cell>
          <cell r="C823">
            <v>6</v>
          </cell>
          <cell r="D823">
            <v>52</v>
          </cell>
          <cell r="E823">
            <v>-5.1186949999999998</v>
          </cell>
          <cell r="F823">
            <v>103.09780499999999</v>
          </cell>
        </row>
        <row r="824">
          <cell r="A824">
            <v>8</v>
          </cell>
          <cell r="B824">
            <v>8379</v>
          </cell>
          <cell r="C824">
            <v>1</v>
          </cell>
          <cell r="D824">
            <v>52</v>
          </cell>
          <cell r="E824">
            <v>0.09</v>
          </cell>
          <cell r="F824">
            <v>1.0111060000000001</v>
          </cell>
        </row>
        <row r="825">
          <cell r="A825">
            <v>8</v>
          </cell>
          <cell r="B825">
            <v>8383</v>
          </cell>
          <cell r="C825">
            <v>1</v>
          </cell>
          <cell r="D825">
            <v>52</v>
          </cell>
          <cell r="E825">
            <v>7.6201999999999996</v>
          </cell>
          <cell r="F825">
            <v>22.8582</v>
          </cell>
        </row>
        <row r="826">
          <cell r="A826">
            <v>8</v>
          </cell>
          <cell r="B826">
            <v>8384</v>
          </cell>
          <cell r="C826">
            <v>1</v>
          </cell>
          <cell r="D826">
            <v>52</v>
          </cell>
          <cell r="E826">
            <v>10.723599999999999</v>
          </cell>
          <cell r="F826">
            <v>32.1708</v>
          </cell>
        </row>
        <row r="827">
          <cell r="A827">
            <v>8</v>
          </cell>
          <cell r="B827">
            <v>8388</v>
          </cell>
          <cell r="C827">
            <v>1</v>
          </cell>
          <cell r="D827">
            <v>52</v>
          </cell>
          <cell r="E827">
            <v>54.2821</v>
          </cell>
          <cell r="F827">
            <v>162.84610000000001</v>
          </cell>
        </row>
        <row r="828">
          <cell r="A828">
            <v>8</v>
          </cell>
          <cell r="B828">
            <v>8397</v>
          </cell>
          <cell r="C828">
            <v>1</v>
          </cell>
          <cell r="D828">
            <v>4</v>
          </cell>
          <cell r="E828">
            <v>-19.521747999999999</v>
          </cell>
          <cell r="F828">
            <v>-20.983260000000001</v>
          </cell>
        </row>
        <row r="829">
          <cell r="A829">
            <v>8</v>
          </cell>
          <cell r="B829">
            <v>8397</v>
          </cell>
          <cell r="C829">
            <v>1</v>
          </cell>
          <cell r="D829">
            <v>51</v>
          </cell>
          <cell r="E829">
            <v>24.525053</v>
          </cell>
          <cell r="F829">
            <v>74.890417999999997</v>
          </cell>
        </row>
        <row r="830">
          <cell r="A830">
            <v>8</v>
          </cell>
          <cell r="B830">
            <v>8397</v>
          </cell>
          <cell r="C830">
            <v>1</v>
          </cell>
          <cell r="D830">
            <v>52</v>
          </cell>
          <cell r="E830">
            <v>5.5709929999999996</v>
          </cell>
          <cell r="F830">
            <v>16.723708999999999</v>
          </cell>
        </row>
        <row r="831">
          <cell r="A831">
            <v>8</v>
          </cell>
          <cell r="B831">
            <v>8397</v>
          </cell>
          <cell r="C831">
            <v>1</v>
          </cell>
          <cell r="D831">
            <v>591</v>
          </cell>
          <cell r="E831">
            <v>0.34495700000000001</v>
          </cell>
          <cell r="F831">
            <v>0.34495700000000001</v>
          </cell>
        </row>
        <row r="832">
          <cell r="A832">
            <v>8</v>
          </cell>
          <cell r="B832">
            <v>8399</v>
          </cell>
          <cell r="C832">
            <v>1</v>
          </cell>
          <cell r="D832">
            <v>51</v>
          </cell>
          <cell r="E832">
            <v>3.6913909999999999</v>
          </cell>
          <cell r="F832">
            <v>11.323542</v>
          </cell>
        </row>
        <row r="833">
          <cell r="A833">
            <v>8</v>
          </cell>
          <cell r="B833">
            <v>8399</v>
          </cell>
          <cell r="C833">
            <v>1</v>
          </cell>
          <cell r="D833">
            <v>52</v>
          </cell>
          <cell r="E833">
            <v>336.19243699999998</v>
          </cell>
          <cell r="F833">
            <v>600.80770699999994</v>
          </cell>
        </row>
        <row r="834">
          <cell r="A834">
            <v>8</v>
          </cell>
          <cell r="B834">
            <v>8399</v>
          </cell>
          <cell r="C834">
            <v>1</v>
          </cell>
          <cell r="D834">
            <v>591</v>
          </cell>
          <cell r="E834">
            <v>14.746</v>
          </cell>
          <cell r="F834">
            <v>49.738</v>
          </cell>
        </row>
        <row r="835">
          <cell r="A835">
            <v>8</v>
          </cell>
          <cell r="B835">
            <v>8399</v>
          </cell>
          <cell r="C835">
            <v>6</v>
          </cell>
          <cell r="D835">
            <v>52</v>
          </cell>
          <cell r="E835">
            <v>0</v>
          </cell>
          <cell r="F835">
            <v>2.9151050000000001</v>
          </cell>
        </row>
        <row r="836">
          <cell r="A836">
            <v>8</v>
          </cell>
          <cell r="B836">
            <v>8401</v>
          </cell>
          <cell r="C836">
            <v>1</v>
          </cell>
          <cell r="D836">
            <v>52</v>
          </cell>
          <cell r="E836">
            <v>0</v>
          </cell>
          <cell r="F836">
            <v>1.312959</v>
          </cell>
        </row>
        <row r="837">
          <cell r="A837">
            <v>8</v>
          </cell>
          <cell r="B837">
            <v>8408</v>
          </cell>
          <cell r="C837">
            <v>1</v>
          </cell>
          <cell r="D837">
            <v>52</v>
          </cell>
          <cell r="E837">
            <v>49.448787000000003</v>
          </cell>
          <cell r="F837">
            <v>99.553393999999997</v>
          </cell>
        </row>
        <row r="838">
          <cell r="A838">
            <v>8</v>
          </cell>
          <cell r="B838">
            <v>8409</v>
          </cell>
          <cell r="C838">
            <v>1</v>
          </cell>
          <cell r="D838">
            <v>52</v>
          </cell>
          <cell r="E838">
            <v>69.076165000000003</v>
          </cell>
          <cell r="F838">
            <v>112.771739</v>
          </cell>
        </row>
        <row r="839">
          <cell r="A839">
            <v>8</v>
          </cell>
          <cell r="B839">
            <v>8410</v>
          </cell>
          <cell r="C839">
            <v>1</v>
          </cell>
          <cell r="D839">
            <v>52</v>
          </cell>
          <cell r="E839">
            <v>113.461688</v>
          </cell>
          <cell r="F839">
            <v>335.65686299999999</v>
          </cell>
        </row>
        <row r="840">
          <cell r="A840">
            <v>8</v>
          </cell>
          <cell r="B840">
            <v>8412</v>
          </cell>
          <cell r="C840">
            <v>1</v>
          </cell>
          <cell r="D840">
            <v>52</v>
          </cell>
          <cell r="E840">
            <v>55.282921000000002</v>
          </cell>
          <cell r="F840">
            <v>160.37402299999999</v>
          </cell>
        </row>
        <row r="841">
          <cell r="A841">
            <v>8</v>
          </cell>
          <cell r="B841">
            <v>8413</v>
          </cell>
          <cell r="C841">
            <v>1</v>
          </cell>
          <cell r="D841">
            <v>52</v>
          </cell>
          <cell r="E841">
            <v>49.340415999999998</v>
          </cell>
          <cell r="F841">
            <v>108.285546</v>
          </cell>
        </row>
        <row r="842">
          <cell r="A842">
            <v>8</v>
          </cell>
          <cell r="B842">
            <v>8428</v>
          </cell>
          <cell r="C842">
            <v>1</v>
          </cell>
          <cell r="D842">
            <v>52</v>
          </cell>
          <cell r="E842">
            <v>15.390648000000001</v>
          </cell>
          <cell r="F842">
            <v>43.499721999999998</v>
          </cell>
        </row>
        <row r="843">
          <cell r="A843">
            <v>8</v>
          </cell>
          <cell r="B843">
            <v>8434</v>
          </cell>
          <cell r="C843">
            <v>1</v>
          </cell>
          <cell r="D843">
            <v>52</v>
          </cell>
          <cell r="E843">
            <v>111.577574</v>
          </cell>
          <cell r="F843">
            <v>327.599964</v>
          </cell>
        </row>
        <row r="844">
          <cell r="A844">
            <v>8</v>
          </cell>
          <cell r="B844">
            <v>8437</v>
          </cell>
          <cell r="C844">
            <v>1</v>
          </cell>
          <cell r="D844">
            <v>52</v>
          </cell>
          <cell r="E844">
            <v>20.993393000000001</v>
          </cell>
          <cell r="F844">
            <v>49.787764000000003</v>
          </cell>
        </row>
        <row r="845">
          <cell r="A845">
            <v>8</v>
          </cell>
          <cell r="B845">
            <v>8447</v>
          </cell>
          <cell r="C845">
            <v>1</v>
          </cell>
          <cell r="D845">
            <v>52</v>
          </cell>
          <cell r="E845">
            <v>87.381949000000006</v>
          </cell>
          <cell r="F845">
            <v>240.40511599999999</v>
          </cell>
        </row>
        <row r="846">
          <cell r="A846">
            <v>8</v>
          </cell>
          <cell r="B846">
            <v>8478</v>
          </cell>
          <cell r="C846">
            <v>1</v>
          </cell>
          <cell r="D846">
            <v>52</v>
          </cell>
          <cell r="E846">
            <v>4.8803999999999998</v>
          </cell>
          <cell r="F846">
            <v>14.6412</v>
          </cell>
        </row>
        <row r="847">
          <cell r="A847">
            <v>8</v>
          </cell>
          <cell r="B847">
            <v>8479</v>
          </cell>
          <cell r="C847">
            <v>1</v>
          </cell>
          <cell r="D847">
            <v>52</v>
          </cell>
          <cell r="E847">
            <v>7.4452999999999996</v>
          </cell>
          <cell r="F847">
            <v>22.3353</v>
          </cell>
        </row>
        <row r="848">
          <cell r="A848">
            <v>8</v>
          </cell>
          <cell r="B848">
            <v>8491</v>
          </cell>
          <cell r="C848">
            <v>1</v>
          </cell>
          <cell r="D848">
            <v>52</v>
          </cell>
          <cell r="E848">
            <v>111.684366</v>
          </cell>
          <cell r="F848">
            <v>335.053966</v>
          </cell>
        </row>
        <row r="849">
          <cell r="A849">
            <v>8</v>
          </cell>
          <cell r="B849">
            <v>8492</v>
          </cell>
          <cell r="C849">
            <v>1</v>
          </cell>
          <cell r="D849">
            <v>52</v>
          </cell>
          <cell r="E849">
            <v>45.948799999999999</v>
          </cell>
          <cell r="F849">
            <v>137.84639999999999</v>
          </cell>
        </row>
        <row r="850">
          <cell r="A850">
            <v>8</v>
          </cell>
          <cell r="B850">
            <v>8493</v>
          </cell>
          <cell r="C850">
            <v>1</v>
          </cell>
          <cell r="D850">
            <v>52</v>
          </cell>
          <cell r="E850">
            <v>40.362900000000003</v>
          </cell>
          <cell r="F850">
            <v>121.0887</v>
          </cell>
        </row>
        <row r="851">
          <cell r="A851">
            <v>8</v>
          </cell>
          <cell r="B851">
            <v>8494</v>
          </cell>
          <cell r="C851">
            <v>1</v>
          </cell>
          <cell r="D851">
            <v>52</v>
          </cell>
          <cell r="E851">
            <v>9.0221</v>
          </cell>
          <cell r="F851">
            <v>27.066299999999998</v>
          </cell>
        </row>
        <row r="852">
          <cell r="A852">
            <v>8</v>
          </cell>
          <cell r="B852">
            <v>8500</v>
          </cell>
          <cell r="C852">
            <v>1</v>
          </cell>
          <cell r="D852">
            <v>52</v>
          </cell>
          <cell r="E852">
            <v>6.162871</v>
          </cell>
          <cell r="F852">
            <v>18.391497000000001</v>
          </cell>
        </row>
        <row r="853">
          <cell r="A853">
            <v>8</v>
          </cell>
          <cell r="B853">
            <v>8500</v>
          </cell>
          <cell r="C853">
            <v>1</v>
          </cell>
          <cell r="D853">
            <v>591</v>
          </cell>
          <cell r="E853">
            <v>4.9598329999999997</v>
          </cell>
          <cell r="F853">
            <v>5.2795030000000001</v>
          </cell>
        </row>
        <row r="854">
          <cell r="A854">
            <v>8</v>
          </cell>
          <cell r="B854">
            <v>8500</v>
          </cell>
          <cell r="C854">
            <v>6</v>
          </cell>
          <cell r="D854">
            <v>591</v>
          </cell>
          <cell r="E854">
            <v>0</v>
          </cell>
          <cell r="F854">
            <v>20</v>
          </cell>
        </row>
        <row r="855">
          <cell r="A855">
            <v>8</v>
          </cell>
          <cell r="B855">
            <v>8501</v>
          </cell>
          <cell r="C855">
            <v>1</v>
          </cell>
          <cell r="D855">
            <v>52</v>
          </cell>
          <cell r="E855">
            <v>43.232999999999997</v>
          </cell>
          <cell r="F855">
            <v>211.992886</v>
          </cell>
        </row>
        <row r="856">
          <cell r="A856">
            <v>8</v>
          </cell>
          <cell r="B856">
            <v>8506</v>
          </cell>
          <cell r="C856">
            <v>1</v>
          </cell>
          <cell r="D856">
            <v>4</v>
          </cell>
          <cell r="E856">
            <v>-49.886617999999999</v>
          </cell>
          <cell r="F856">
            <v>-126.17671</v>
          </cell>
        </row>
        <row r="857">
          <cell r="A857">
            <v>8</v>
          </cell>
          <cell r="B857">
            <v>8506</v>
          </cell>
          <cell r="C857">
            <v>1</v>
          </cell>
          <cell r="D857">
            <v>51</v>
          </cell>
          <cell r="E857">
            <v>269.03716400000002</v>
          </cell>
          <cell r="F857">
            <v>800.13926500000002</v>
          </cell>
        </row>
        <row r="858">
          <cell r="A858">
            <v>8</v>
          </cell>
          <cell r="B858">
            <v>8506</v>
          </cell>
          <cell r="C858">
            <v>1</v>
          </cell>
          <cell r="D858">
            <v>52</v>
          </cell>
          <cell r="E858">
            <v>96.953530000000001</v>
          </cell>
          <cell r="F858">
            <v>291.28546899999998</v>
          </cell>
        </row>
        <row r="859">
          <cell r="A859">
            <v>8</v>
          </cell>
          <cell r="B859">
            <v>8508</v>
          </cell>
          <cell r="C859">
            <v>1</v>
          </cell>
          <cell r="D859">
            <v>52</v>
          </cell>
          <cell r="E859">
            <v>76.608000000000004</v>
          </cell>
          <cell r="F859">
            <v>229.828</v>
          </cell>
        </row>
        <row r="860">
          <cell r="A860">
            <v>8</v>
          </cell>
          <cell r="B860">
            <v>8515</v>
          </cell>
          <cell r="C860">
            <v>1</v>
          </cell>
          <cell r="D860">
            <v>52</v>
          </cell>
          <cell r="E860">
            <v>13.686544</v>
          </cell>
          <cell r="F860">
            <v>41.059944000000002</v>
          </cell>
        </row>
        <row r="861">
          <cell r="A861">
            <v>8</v>
          </cell>
          <cell r="B861">
            <v>8517</v>
          </cell>
          <cell r="C861">
            <v>1</v>
          </cell>
          <cell r="D861">
            <v>52</v>
          </cell>
          <cell r="E861">
            <v>28.439451999999999</v>
          </cell>
          <cell r="F861">
            <v>70.603452000000004</v>
          </cell>
        </row>
        <row r="862">
          <cell r="A862">
            <v>8</v>
          </cell>
          <cell r="B862">
            <v>8552</v>
          </cell>
          <cell r="C862">
            <v>1</v>
          </cell>
          <cell r="D862">
            <v>4</v>
          </cell>
          <cell r="E862">
            <v>-0.69114500000000001</v>
          </cell>
          <cell r="F862">
            <v>-1.8195159999999999</v>
          </cell>
        </row>
        <row r="863">
          <cell r="A863">
            <v>8</v>
          </cell>
          <cell r="B863">
            <v>8552</v>
          </cell>
          <cell r="C863">
            <v>1</v>
          </cell>
          <cell r="D863">
            <v>51</v>
          </cell>
          <cell r="E863">
            <v>6.6073300000000001</v>
          </cell>
          <cell r="F863">
            <v>19.837710999999999</v>
          </cell>
        </row>
        <row r="864">
          <cell r="A864">
            <v>8</v>
          </cell>
          <cell r="B864">
            <v>8552</v>
          </cell>
          <cell r="C864">
            <v>1</v>
          </cell>
          <cell r="D864">
            <v>52</v>
          </cell>
          <cell r="E864">
            <v>1.970207</v>
          </cell>
          <cell r="F864">
            <v>4.6612799999999996</v>
          </cell>
        </row>
        <row r="865">
          <cell r="A865">
            <v>8</v>
          </cell>
          <cell r="B865">
            <v>8553</v>
          </cell>
          <cell r="C865">
            <v>1</v>
          </cell>
          <cell r="D865">
            <v>52</v>
          </cell>
          <cell r="E865">
            <v>39.416367000000001</v>
          </cell>
          <cell r="F865">
            <v>118.24976700000001</v>
          </cell>
        </row>
        <row r="866">
          <cell r="A866">
            <v>8</v>
          </cell>
          <cell r="B866">
            <v>8588</v>
          </cell>
          <cell r="C866">
            <v>1</v>
          </cell>
          <cell r="D866">
            <v>52</v>
          </cell>
          <cell r="E866">
            <v>22.058140000000002</v>
          </cell>
          <cell r="F866">
            <v>66.173069999999996</v>
          </cell>
        </row>
        <row r="867">
          <cell r="A867">
            <v>8</v>
          </cell>
          <cell r="B867">
            <v>8711</v>
          </cell>
          <cell r="C867">
            <v>1</v>
          </cell>
          <cell r="D867">
            <v>4</v>
          </cell>
          <cell r="E867">
            <v>-0.46529500000000001</v>
          </cell>
          <cell r="F867">
            <v>-1.08064</v>
          </cell>
        </row>
        <row r="868">
          <cell r="A868">
            <v>8</v>
          </cell>
          <cell r="B868">
            <v>8711</v>
          </cell>
          <cell r="C868">
            <v>1</v>
          </cell>
          <cell r="D868">
            <v>52</v>
          </cell>
          <cell r="E868">
            <v>0</v>
          </cell>
          <cell r="F868">
            <v>0.32287900000000003</v>
          </cell>
        </row>
        <row r="869">
          <cell r="A869">
            <v>8</v>
          </cell>
          <cell r="B869">
            <v>8715</v>
          </cell>
          <cell r="C869">
            <v>1</v>
          </cell>
          <cell r="D869">
            <v>4</v>
          </cell>
          <cell r="E869">
            <v>-0.38706600000000002</v>
          </cell>
          <cell r="F869">
            <v>-0.38706600000000002</v>
          </cell>
        </row>
        <row r="870">
          <cell r="A870">
            <v>8</v>
          </cell>
          <cell r="B870">
            <v>8716</v>
          </cell>
          <cell r="C870">
            <v>1</v>
          </cell>
          <cell r="D870">
            <v>4</v>
          </cell>
          <cell r="E870">
            <v>-2.8900540000000001</v>
          </cell>
          <cell r="F870">
            <v>-10.909596000000001</v>
          </cell>
        </row>
        <row r="871">
          <cell r="A871">
            <v>8</v>
          </cell>
          <cell r="B871">
            <v>8716</v>
          </cell>
          <cell r="C871">
            <v>1</v>
          </cell>
          <cell r="D871">
            <v>51</v>
          </cell>
          <cell r="E871">
            <v>174.508173</v>
          </cell>
          <cell r="F871">
            <v>526.08709399999998</v>
          </cell>
        </row>
        <row r="872">
          <cell r="A872">
            <v>8</v>
          </cell>
          <cell r="B872">
            <v>8716</v>
          </cell>
          <cell r="C872">
            <v>1</v>
          </cell>
          <cell r="D872">
            <v>52</v>
          </cell>
          <cell r="E872">
            <v>9.1331059999999997</v>
          </cell>
          <cell r="F872">
            <v>74.461404000000002</v>
          </cell>
        </row>
        <row r="873">
          <cell r="A873">
            <v>8</v>
          </cell>
          <cell r="B873">
            <v>8721</v>
          </cell>
          <cell r="C873">
            <v>1</v>
          </cell>
          <cell r="D873">
            <v>4</v>
          </cell>
          <cell r="E873">
            <v>-1.1325460000000001</v>
          </cell>
          <cell r="F873">
            <v>-2.752008</v>
          </cell>
        </row>
        <row r="874">
          <cell r="A874">
            <v>8</v>
          </cell>
          <cell r="B874">
            <v>8721</v>
          </cell>
          <cell r="C874">
            <v>1</v>
          </cell>
          <cell r="D874">
            <v>51</v>
          </cell>
          <cell r="E874">
            <v>15.648635000000001</v>
          </cell>
          <cell r="F874">
            <v>48.392985000000003</v>
          </cell>
        </row>
        <row r="875">
          <cell r="A875">
            <v>8</v>
          </cell>
          <cell r="B875">
            <v>8721</v>
          </cell>
          <cell r="C875">
            <v>1</v>
          </cell>
          <cell r="D875">
            <v>52</v>
          </cell>
          <cell r="E875">
            <v>8.3751289999999994</v>
          </cell>
          <cell r="F875">
            <v>20.318908</v>
          </cell>
        </row>
        <row r="876">
          <cell r="A876">
            <v>8</v>
          </cell>
          <cell r="B876">
            <v>8726</v>
          </cell>
          <cell r="C876">
            <v>1</v>
          </cell>
          <cell r="D876">
            <v>4</v>
          </cell>
          <cell r="E876">
            <v>-5.2586130000000004</v>
          </cell>
          <cell r="F876">
            <v>-18.914959</v>
          </cell>
        </row>
        <row r="877">
          <cell r="A877">
            <v>8</v>
          </cell>
          <cell r="B877">
            <v>8726</v>
          </cell>
          <cell r="C877">
            <v>1</v>
          </cell>
          <cell r="D877">
            <v>51</v>
          </cell>
          <cell r="E877">
            <v>63.601399999999998</v>
          </cell>
          <cell r="F877">
            <v>196.894656</v>
          </cell>
        </row>
        <row r="878">
          <cell r="A878">
            <v>8</v>
          </cell>
          <cell r="B878">
            <v>8726</v>
          </cell>
          <cell r="C878">
            <v>1</v>
          </cell>
          <cell r="D878">
            <v>52</v>
          </cell>
          <cell r="E878">
            <v>28.856770999999998</v>
          </cell>
          <cell r="F878">
            <v>71.461510000000004</v>
          </cell>
        </row>
        <row r="879">
          <cell r="A879">
            <v>8</v>
          </cell>
          <cell r="B879">
            <v>8735</v>
          </cell>
          <cell r="C879">
            <v>1</v>
          </cell>
          <cell r="D879">
            <v>4</v>
          </cell>
          <cell r="E879">
            <v>-3.347E-2</v>
          </cell>
          <cell r="F879">
            <v>-5.1549999999999999E-2</v>
          </cell>
        </row>
        <row r="880">
          <cell r="A880">
            <v>8</v>
          </cell>
          <cell r="B880">
            <v>8745</v>
          </cell>
          <cell r="C880">
            <v>1</v>
          </cell>
          <cell r="D880">
            <v>4</v>
          </cell>
          <cell r="E880">
            <v>-2.2378369999999999</v>
          </cell>
          <cell r="F880">
            <v>-11.674288000000001</v>
          </cell>
        </row>
        <row r="881">
          <cell r="A881">
            <v>8</v>
          </cell>
          <cell r="B881">
            <v>8745</v>
          </cell>
          <cell r="C881">
            <v>1</v>
          </cell>
          <cell r="D881">
            <v>51</v>
          </cell>
          <cell r="E881">
            <v>19.755451000000001</v>
          </cell>
          <cell r="F881">
            <v>66.750583000000006</v>
          </cell>
        </row>
        <row r="882">
          <cell r="A882">
            <v>8</v>
          </cell>
          <cell r="B882">
            <v>8745</v>
          </cell>
          <cell r="C882">
            <v>1</v>
          </cell>
          <cell r="D882">
            <v>52</v>
          </cell>
          <cell r="E882">
            <v>14.702428000000001</v>
          </cell>
          <cell r="F882">
            <v>42.788010999999997</v>
          </cell>
        </row>
        <row r="883">
          <cell r="A883">
            <v>8</v>
          </cell>
          <cell r="B883">
            <v>8745</v>
          </cell>
          <cell r="C883">
            <v>1</v>
          </cell>
          <cell r="D883">
            <v>591</v>
          </cell>
          <cell r="E883">
            <v>5.4999999999999997E-3</v>
          </cell>
          <cell r="F883">
            <v>5.4999999999999997E-3</v>
          </cell>
        </row>
        <row r="884">
          <cell r="A884">
            <v>8</v>
          </cell>
          <cell r="B884">
            <v>8751</v>
          </cell>
          <cell r="C884">
            <v>1</v>
          </cell>
          <cell r="D884">
            <v>4</v>
          </cell>
          <cell r="E884">
            <v>-7.8133540000000004</v>
          </cell>
          <cell r="F884">
            <v>-19.821494999999999</v>
          </cell>
        </row>
        <row r="885">
          <cell r="A885">
            <v>8</v>
          </cell>
          <cell r="B885">
            <v>8751</v>
          </cell>
          <cell r="C885">
            <v>1</v>
          </cell>
          <cell r="D885">
            <v>51</v>
          </cell>
          <cell r="E885">
            <v>52.958464999999997</v>
          </cell>
          <cell r="F885">
            <v>162.56673599999999</v>
          </cell>
        </row>
        <row r="886">
          <cell r="A886">
            <v>8</v>
          </cell>
          <cell r="B886">
            <v>8751</v>
          </cell>
          <cell r="C886">
            <v>1</v>
          </cell>
          <cell r="D886">
            <v>52</v>
          </cell>
          <cell r="E886">
            <v>18.643063999999999</v>
          </cell>
          <cell r="F886">
            <v>55.472712999999999</v>
          </cell>
        </row>
        <row r="887">
          <cell r="A887">
            <v>8</v>
          </cell>
          <cell r="B887">
            <v>8756</v>
          </cell>
          <cell r="C887">
            <v>1</v>
          </cell>
          <cell r="D887">
            <v>4</v>
          </cell>
          <cell r="E887">
            <v>-1.8047390000000001</v>
          </cell>
          <cell r="F887">
            <v>-6.3476460000000001</v>
          </cell>
        </row>
        <row r="888">
          <cell r="A888">
            <v>8</v>
          </cell>
          <cell r="B888">
            <v>8756</v>
          </cell>
          <cell r="C888">
            <v>1</v>
          </cell>
          <cell r="D888">
            <v>51</v>
          </cell>
          <cell r="E888">
            <v>29.006568999999999</v>
          </cell>
          <cell r="F888">
            <v>89.167424999999994</v>
          </cell>
        </row>
        <row r="889">
          <cell r="A889">
            <v>8</v>
          </cell>
          <cell r="B889">
            <v>8756</v>
          </cell>
          <cell r="C889">
            <v>1</v>
          </cell>
          <cell r="D889">
            <v>52</v>
          </cell>
          <cell r="E889">
            <v>11.521944999999999</v>
          </cell>
          <cell r="F889">
            <v>32.169201999999999</v>
          </cell>
        </row>
        <row r="890">
          <cell r="A890">
            <v>8</v>
          </cell>
          <cell r="B890">
            <v>8761</v>
          </cell>
          <cell r="C890">
            <v>1</v>
          </cell>
          <cell r="D890">
            <v>4</v>
          </cell>
          <cell r="E890">
            <v>-10.800922999999999</v>
          </cell>
          <cell r="F890">
            <v>-23.622202000000001</v>
          </cell>
        </row>
        <row r="891">
          <cell r="A891">
            <v>8</v>
          </cell>
          <cell r="B891">
            <v>8761</v>
          </cell>
          <cell r="C891">
            <v>1</v>
          </cell>
          <cell r="D891">
            <v>51</v>
          </cell>
          <cell r="E891">
            <v>56.016947000000002</v>
          </cell>
          <cell r="F891">
            <v>171.963874</v>
          </cell>
        </row>
        <row r="892">
          <cell r="A892">
            <v>8</v>
          </cell>
          <cell r="B892">
            <v>8761</v>
          </cell>
          <cell r="C892">
            <v>1</v>
          </cell>
          <cell r="D892">
            <v>52</v>
          </cell>
          <cell r="E892">
            <v>28.800577000000001</v>
          </cell>
          <cell r="F892">
            <v>78.280551000000003</v>
          </cell>
        </row>
        <row r="893">
          <cell r="A893">
            <v>8</v>
          </cell>
          <cell r="B893">
            <v>8777</v>
          </cell>
          <cell r="C893">
            <v>1</v>
          </cell>
          <cell r="D893">
            <v>4</v>
          </cell>
          <cell r="E893">
            <v>-15.479666</v>
          </cell>
          <cell r="F893">
            <v>-51.544927000000001</v>
          </cell>
        </row>
        <row r="894">
          <cell r="A894">
            <v>8</v>
          </cell>
          <cell r="B894">
            <v>8777</v>
          </cell>
          <cell r="C894">
            <v>1</v>
          </cell>
          <cell r="D894">
            <v>51</v>
          </cell>
          <cell r="E894">
            <v>127.660437</v>
          </cell>
          <cell r="F894">
            <v>391.05044600000002</v>
          </cell>
        </row>
        <row r="895">
          <cell r="A895">
            <v>8</v>
          </cell>
          <cell r="B895">
            <v>8777</v>
          </cell>
          <cell r="C895">
            <v>1</v>
          </cell>
          <cell r="D895">
            <v>52</v>
          </cell>
          <cell r="E895">
            <v>45.740915000000001</v>
          </cell>
          <cell r="F895">
            <v>134.29938999999999</v>
          </cell>
        </row>
        <row r="896">
          <cell r="A896">
            <v>8</v>
          </cell>
          <cell r="B896">
            <v>8777</v>
          </cell>
          <cell r="C896">
            <v>1</v>
          </cell>
          <cell r="D896">
            <v>591</v>
          </cell>
          <cell r="E896">
            <v>0.04</v>
          </cell>
          <cell r="F896">
            <v>0.12</v>
          </cell>
        </row>
        <row r="897">
          <cell r="A897">
            <v>8</v>
          </cell>
          <cell r="B897">
            <v>8779</v>
          </cell>
          <cell r="C897">
            <v>1</v>
          </cell>
          <cell r="D897">
            <v>52</v>
          </cell>
          <cell r="E897">
            <v>13.5275</v>
          </cell>
          <cell r="F897">
            <v>39.419499999999999</v>
          </cell>
        </row>
        <row r="898">
          <cell r="A898">
            <v>8</v>
          </cell>
          <cell r="B898">
            <v>8781</v>
          </cell>
          <cell r="C898">
            <v>1</v>
          </cell>
          <cell r="D898">
            <v>4</v>
          </cell>
          <cell r="E898">
            <v>0</v>
          </cell>
          <cell r="F898">
            <v>-2.6260270000000001</v>
          </cell>
        </row>
        <row r="899">
          <cell r="A899">
            <v>8</v>
          </cell>
          <cell r="B899">
            <v>8781</v>
          </cell>
          <cell r="C899">
            <v>1</v>
          </cell>
          <cell r="D899">
            <v>51</v>
          </cell>
          <cell r="E899">
            <v>37.157564000000001</v>
          </cell>
          <cell r="F899">
            <v>120.94804499999999</v>
          </cell>
        </row>
        <row r="900">
          <cell r="A900">
            <v>8</v>
          </cell>
          <cell r="B900">
            <v>8781</v>
          </cell>
          <cell r="C900">
            <v>1</v>
          </cell>
          <cell r="D900">
            <v>52</v>
          </cell>
          <cell r="E900">
            <v>2.492982</v>
          </cell>
          <cell r="F900">
            <v>21.075793999999998</v>
          </cell>
        </row>
        <row r="901">
          <cell r="A901">
            <v>8</v>
          </cell>
          <cell r="B901">
            <v>8787</v>
          </cell>
          <cell r="C901">
            <v>1</v>
          </cell>
          <cell r="D901">
            <v>4</v>
          </cell>
          <cell r="E901">
            <v>-21.459254000000001</v>
          </cell>
          <cell r="F901">
            <v>-69.495804000000007</v>
          </cell>
        </row>
        <row r="902">
          <cell r="A902">
            <v>8</v>
          </cell>
          <cell r="B902">
            <v>8787</v>
          </cell>
          <cell r="C902">
            <v>1</v>
          </cell>
          <cell r="D902">
            <v>51</v>
          </cell>
          <cell r="E902">
            <v>134.489721</v>
          </cell>
          <cell r="F902">
            <v>420.30465500000003</v>
          </cell>
        </row>
        <row r="903">
          <cell r="A903">
            <v>8</v>
          </cell>
          <cell r="B903">
            <v>8787</v>
          </cell>
          <cell r="C903">
            <v>1</v>
          </cell>
          <cell r="D903">
            <v>52</v>
          </cell>
          <cell r="E903">
            <v>39.923738999999998</v>
          </cell>
          <cell r="F903">
            <v>133.43271799999999</v>
          </cell>
        </row>
        <row r="904">
          <cell r="A904">
            <v>8</v>
          </cell>
          <cell r="B904">
            <v>8787</v>
          </cell>
          <cell r="C904">
            <v>1</v>
          </cell>
          <cell r="D904">
            <v>591</v>
          </cell>
          <cell r="E904">
            <v>2.5000000000000001E-2</v>
          </cell>
          <cell r="F904">
            <v>2.5000000000000001E-2</v>
          </cell>
        </row>
        <row r="905">
          <cell r="A905">
            <v>8</v>
          </cell>
          <cell r="B905">
            <v>8791</v>
          </cell>
          <cell r="C905">
            <v>1</v>
          </cell>
          <cell r="D905">
            <v>4</v>
          </cell>
          <cell r="E905">
            <v>-9.7086310000000005</v>
          </cell>
          <cell r="F905">
            <v>-33.528385</v>
          </cell>
        </row>
        <row r="906">
          <cell r="A906">
            <v>8</v>
          </cell>
          <cell r="B906">
            <v>8791</v>
          </cell>
          <cell r="C906">
            <v>1</v>
          </cell>
          <cell r="D906">
            <v>51</v>
          </cell>
          <cell r="E906">
            <v>114.482145</v>
          </cell>
          <cell r="F906">
            <v>346.262787</v>
          </cell>
        </row>
        <row r="907">
          <cell r="A907">
            <v>8</v>
          </cell>
          <cell r="B907">
            <v>8791</v>
          </cell>
          <cell r="C907">
            <v>1</v>
          </cell>
          <cell r="D907">
            <v>52</v>
          </cell>
          <cell r="E907">
            <v>10.424542000000001</v>
          </cell>
          <cell r="F907">
            <v>80.425183000000004</v>
          </cell>
        </row>
        <row r="908">
          <cell r="A908">
            <v>8</v>
          </cell>
          <cell r="B908">
            <v>8795</v>
          </cell>
          <cell r="C908">
            <v>1</v>
          </cell>
          <cell r="D908">
            <v>4</v>
          </cell>
          <cell r="E908">
            <v>-7.2458739999999997</v>
          </cell>
          <cell r="F908">
            <v>-24.571725000000001</v>
          </cell>
        </row>
        <row r="909">
          <cell r="A909">
            <v>8</v>
          </cell>
          <cell r="B909">
            <v>8795</v>
          </cell>
          <cell r="C909">
            <v>1</v>
          </cell>
          <cell r="D909">
            <v>51</v>
          </cell>
          <cell r="E909">
            <v>74.286867000000001</v>
          </cell>
          <cell r="F909">
            <v>220.673832</v>
          </cell>
        </row>
        <row r="910">
          <cell r="A910">
            <v>8</v>
          </cell>
          <cell r="B910">
            <v>8795</v>
          </cell>
          <cell r="C910">
            <v>1</v>
          </cell>
          <cell r="D910">
            <v>52</v>
          </cell>
          <cell r="E910">
            <v>29.026907999999999</v>
          </cell>
          <cell r="F910">
            <v>114.727675</v>
          </cell>
        </row>
        <row r="911">
          <cell r="A911">
            <v>9</v>
          </cell>
          <cell r="B911">
            <v>9101</v>
          </cell>
          <cell r="C911">
            <v>1</v>
          </cell>
          <cell r="D911">
            <v>4</v>
          </cell>
          <cell r="E911">
            <v>-0.164968</v>
          </cell>
          <cell r="F911">
            <v>-21.163467000000001</v>
          </cell>
        </row>
        <row r="912">
          <cell r="A912">
            <v>9</v>
          </cell>
          <cell r="B912">
            <v>9101</v>
          </cell>
          <cell r="C912">
            <v>1</v>
          </cell>
          <cell r="D912">
            <v>51</v>
          </cell>
          <cell r="E912">
            <v>36.545895000000002</v>
          </cell>
          <cell r="F912">
            <v>111.53002499999999</v>
          </cell>
        </row>
        <row r="913">
          <cell r="A913">
            <v>9</v>
          </cell>
          <cell r="B913">
            <v>9101</v>
          </cell>
          <cell r="C913">
            <v>1</v>
          </cell>
          <cell r="D913">
            <v>52</v>
          </cell>
          <cell r="E913">
            <v>7.9068160000000001</v>
          </cell>
          <cell r="F913">
            <v>27.704025000000001</v>
          </cell>
        </row>
        <row r="914">
          <cell r="A914">
            <v>9</v>
          </cell>
          <cell r="B914">
            <v>9103</v>
          </cell>
          <cell r="C914">
            <v>1</v>
          </cell>
          <cell r="D914">
            <v>4</v>
          </cell>
          <cell r="E914">
            <v>-1.4E-2</v>
          </cell>
          <cell r="F914">
            <v>-8.3000000000000004E-2</v>
          </cell>
        </row>
        <row r="915">
          <cell r="A915">
            <v>9</v>
          </cell>
          <cell r="B915">
            <v>9103</v>
          </cell>
          <cell r="C915">
            <v>1</v>
          </cell>
          <cell r="D915">
            <v>51</v>
          </cell>
          <cell r="E915">
            <v>36.717989000000003</v>
          </cell>
          <cell r="F915">
            <v>111.046718</v>
          </cell>
        </row>
        <row r="916">
          <cell r="A916">
            <v>9</v>
          </cell>
          <cell r="B916">
            <v>9103</v>
          </cell>
          <cell r="C916">
            <v>1</v>
          </cell>
          <cell r="D916">
            <v>52</v>
          </cell>
          <cell r="E916">
            <v>167.50312</v>
          </cell>
          <cell r="F916">
            <v>289.03666399999997</v>
          </cell>
        </row>
        <row r="917">
          <cell r="A917">
            <v>9</v>
          </cell>
          <cell r="B917">
            <v>9103</v>
          </cell>
          <cell r="C917">
            <v>6</v>
          </cell>
          <cell r="D917">
            <v>52</v>
          </cell>
          <cell r="E917">
            <v>0</v>
          </cell>
          <cell r="F917">
            <v>0.67375399999999996</v>
          </cell>
        </row>
        <row r="918">
          <cell r="A918">
            <v>9</v>
          </cell>
          <cell r="B918">
            <v>9203</v>
          </cell>
          <cell r="C918">
            <v>1</v>
          </cell>
          <cell r="D918">
            <v>52</v>
          </cell>
          <cell r="E918">
            <v>-1.2472E-2</v>
          </cell>
          <cell r="F918">
            <v>0</v>
          </cell>
        </row>
        <row r="919">
          <cell r="A919">
            <v>9</v>
          </cell>
          <cell r="B919">
            <v>9207</v>
          </cell>
          <cell r="C919">
            <v>1</v>
          </cell>
          <cell r="D919">
            <v>52</v>
          </cell>
          <cell r="E919">
            <v>0</v>
          </cell>
          <cell r="F919">
            <v>0</v>
          </cell>
        </row>
        <row r="920">
          <cell r="A920">
            <v>9</v>
          </cell>
          <cell r="B920">
            <v>9210</v>
          </cell>
          <cell r="C920">
            <v>1</v>
          </cell>
          <cell r="D920">
            <v>4</v>
          </cell>
          <cell r="E920">
            <v>-3.9681959999999998</v>
          </cell>
          <cell r="F920">
            <v>-14.144961</v>
          </cell>
        </row>
        <row r="921">
          <cell r="A921">
            <v>9</v>
          </cell>
          <cell r="B921">
            <v>9210</v>
          </cell>
          <cell r="C921">
            <v>1</v>
          </cell>
          <cell r="D921">
            <v>51</v>
          </cell>
          <cell r="E921">
            <v>130.0112</v>
          </cell>
          <cell r="F921">
            <v>388.91574000000003</v>
          </cell>
        </row>
        <row r="922">
          <cell r="A922">
            <v>9</v>
          </cell>
          <cell r="B922">
            <v>9210</v>
          </cell>
          <cell r="C922">
            <v>1</v>
          </cell>
          <cell r="D922">
            <v>52</v>
          </cell>
          <cell r="E922">
            <v>43.728608000000001</v>
          </cell>
          <cell r="F922">
            <v>202.25381900000002</v>
          </cell>
        </row>
        <row r="923">
          <cell r="A923">
            <v>9</v>
          </cell>
          <cell r="B923">
            <v>9210</v>
          </cell>
          <cell r="C923">
            <v>1</v>
          </cell>
          <cell r="D923">
            <v>591</v>
          </cell>
          <cell r="E923">
            <v>0.06</v>
          </cell>
          <cell r="F923">
            <v>6.3E-2</v>
          </cell>
        </row>
        <row r="924">
          <cell r="A924">
            <v>9</v>
          </cell>
          <cell r="B924">
            <v>9210</v>
          </cell>
          <cell r="C924">
            <v>6</v>
          </cell>
          <cell r="D924">
            <v>52</v>
          </cell>
          <cell r="E924">
            <v>5.2240399999999996</v>
          </cell>
          <cell r="F924">
            <v>5.7763479999999996</v>
          </cell>
        </row>
        <row r="925">
          <cell r="A925">
            <v>9</v>
          </cell>
          <cell r="B925">
            <v>9212</v>
          </cell>
          <cell r="C925">
            <v>1</v>
          </cell>
          <cell r="D925">
            <v>52</v>
          </cell>
          <cell r="E925">
            <v>0</v>
          </cell>
          <cell r="F925">
            <v>0.66744700000000001</v>
          </cell>
        </row>
        <row r="926">
          <cell r="A926">
            <v>9</v>
          </cell>
          <cell r="B926">
            <v>9214</v>
          </cell>
          <cell r="C926">
            <v>1</v>
          </cell>
          <cell r="D926">
            <v>51</v>
          </cell>
          <cell r="E926">
            <v>6.7808190000000002</v>
          </cell>
          <cell r="F926">
            <v>20.149684000000001</v>
          </cell>
        </row>
        <row r="927">
          <cell r="A927">
            <v>9</v>
          </cell>
          <cell r="B927">
            <v>9214</v>
          </cell>
          <cell r="C927">
            <v>1</v>
          </cell>
          <cell r="D927">
            <v>52</v>
          </cell>
          <cell r="E927">
            <v>2.2399200000000001</v>
          </cell>
          <cell r="F927">
            <v>6.6267719999999999</v>
          </cell>
        </row>
        <row r="928">
          <cell r="A928">
            <v>9</v>
          </cell>
          <cell r="B928">
            <v>9215</v>
          </cell>
          <cell r="C928">
            <v>1</v>
          </cell>
          <cell r="D928">
            <v>51</v>
          </cell>
          <cell r="E928">
            <v>11.319125</v>
          </cell>
          <cell r="F928">
            <v>33.902025000000002</v>
          </cell>
        </row>
        <row r="929">
          <cell r="A929">
            <v>9</v>
          </cell>
          <cell r="B929">
            <v>9215</v>
          </cell>
          <cell r="C929">
            <v>1</v>
          </cell>
          <cell r="D929">
            <v>52</v>
          </cell>
          <cell r="E929">
            <v>1.5737300000000001</v>
          </cell>
          <cell r="F929">
            <v>5.0778150000000002</v>
          </cell>
        </row>
        <row r="930">
          <cell r="A930">
            <v>9</v>
          </cell>
          <cell r="B930">
            <v>9215</v>
          </cell>
          <cell r="C930">
            <v>1</v>
          </cell>
          <cell r="D930">
            <v>591</v>
          </cell>
          <cell r="E930">
            <v>0</v>
          </cell>
          <cell r="F930">
            <v>1.4999999999999999E-2</v>
          </cell>
        </row>
        <row r="931">
          <cell r="A931">
            <v>9</v>
          </cell>
          <cell r="B931">
            <v>9250</v>
          </cell>
          <cell r="C931">
            <v>1</v>
          </cell>
          <cell r="D931">
            <v>4</v>
          </cell>
          <cell r="E931">
            <v>-10.560314</v>
          </cell>
          <cell r="F931">
            <v>-25.279875000000001</v>
          </cell>
        </row>
        <row r="932">
          <cell r="A932">
            <v>9</v>
          </cell>
          <cell r="B932">
            <v>9250</v>
          </cell>
          <cell r="C932">
            <v>1</v>
          </cell>
          <cell r="D932">
            <v>52</v>
          </cell>
          <cell r="E932">
            <v>44.691240999999998</v>
          </cell>
          <cell r="F932">
            <v>133.733791</v>
          </cell>
        </row>
        <row r="933">
          <cell r="A933">
            <v>9</v>
          </cell>
          <cell r="B933">
            <v>9262</v>
          </cell>
          <cell r="C933">
            <v>1</v>
          </cell>
          <cell r="D933">
            <v>4</v>
          </cell>
          <cell r="E933">
            <v>-6.7314439999999998</v>
          </cell>
          <cell r="F933">
            <v>-16.951428</v>
          </cell>
        </row>
        <row r="934">
          <cell r="A934">
            <v>9</v>
          </cell>
          <cell r="B934">
            <v>9262</v>
          </cell>
          <cell r="C934">
            <v>1</v>
          </cell>
          <cell r="D934">
            <v>51</v>
          </cell>
          <cell r="E934">
            <v>101.574766</v>
          </cell>
          <cell r="F934">
            <v>314.91345699999999</v>
          </cell>
        </row>
        <row r="935">
          <cell r="A935">
            <v>9</v>
          </cell>
          <cell r="B935">
            <v>9262</v>
          </cell>
          <cell r="C935">
            <v>1</v>
          </cell>
          <cell r="D935">
            <v>52</v>
          </cell>
          <cell r="E935">
            <v>50.899064000000003</v>
          </cell>
          <cell r="F935">
            <v>136.76096700000002</v>
          </cell>
        </row>
        <row r="936">
          <cell r="A936">
            <v>9</v>
          </cell>
          <cell r="B936">
            <v>9381</v>
          </cell>
          <cell r="C936">
            <v>1</v>
          </cell>
          <cell r="D936">
            <v>51</v>
          </cell>
          <cell r="E936">
            <v>664.97201600000005</v>
          </cell>
          <cell r="F936">
            <v>1955.7456589999999</v>
          </cell>
        </row>
        <row r="937">
          <cell r="A937">
            <v>9</v>
          </cell>
          <cell r="B937">
            <v>9381</v>
          </cell>
          <cell r="C937">
            <v>1</v>
          </cell>
          <cell r="D937">
            <v>52</v>
          </cell>
          <cell r="E937">
            <v>0</v>
          </cell>
          <cell r="F937">
            <v>6.1594000000000003E-2</v>
          </cell>
        </row>
        <row r="938">
          <cell r="A938">
            <v>9</v>
          </cell>
          <cell r="B938">
            <v>9381</v>
          </cell>
          <cell r="C938">
            <v>1</v>
          </cell>
          <cell r="D938">
            <v>591</v>
          </cell>
          <cell r="E938">
            <v>18.775551</v>
          </cell>
          <cell r="F938">
            <v>56.486823000000001</v>
          </cell>
        </row>
        <row r="939">
          <cell r="A939">
            <v>9</v>
          </cell>
          <cell r="B939">
            <v>9721</v>
          </cell>
          <cell r="C939">
            <v>1</v>
          </cell>
          <cell r="D939">
            <v>52</v>
          </cell>
          <cell r="E939">
            <v>425.48391800000002</v>
          </cell>
          <cell r="F939">
            <v>801.01761799999997</v>
          </cell>
        </row>
        <row r="940">
          <cell r="A940">
            <v>9</v>
          </cell>
          <cell r="B940">
            <v>9811</v>
          </cell>
          <cell r="C940">
            <v>1</v>
          </cell>
          <cell r="D940">
            <v>591</v>
          </cell>
          <cell r="E940">
            <v>20.953185000000001</v>
          </cell>
          <cell r="F940">
            <v>2437.7432650000001</v>
          </cell>
        </row>
        <row r="941">
          <cell r="A941">
            <v>9</v>
          </cell>
          <cell r="B941">
            <v>9821</v>
          </cell>
          <cell r="C941">
            <v>1</v>
          </cell>
          <cell r="D941">
            <v>591</v>
          </cell>
          <cell r="E941">
            <v>12.663511</v>
          </cell>
          <cell r="F941">
            <v>104.021868</v>
          </cell>
        </row>
        <row r="942">
          <cell r="A942">
            <v>9</v>
          </cell>
          <cell r="B942">
            <v>9831</v>
          </cell>
          <cell r="C942">
            <v>1</v>
          </cell>
          <cell r="D942">
            <v>591</v>
          </cell>
          <cell r="E942">
            <v>0</v>
          </cell>
          <cell r="F942">
            <v>3.8710000000000001E-2</v>
          </cell>
        </row>
        <row r="943">
          <cell r="A943">
            <v>9</v>
          </cell>
          <cell r="B943">
            <v>9901</v>
          </cell>
          <cell r="C943">
            <v>1</v>
          </cell>
          <cell r="D943">
            <v>4</v>
          </cell>
          <cell r="E943">
            <v>-22.923055999999999</v>
          </cell>
          <cell r="F943">
            <v>-63.155512000000002</v>
          </cell>
        </row>
        <row r="944">
          <cell r="A944">
            <v>9</v>
          </cell>
          <cell r="B944">
            <v>9901</v>
          </cell>
          <cell r="C944">
            <v>1</v>
          </cell>
          <cell r="D944">
            <v>51</v>
          </cell>
          <cell r="E944">
            <v>12.220468</v>
          </cell>
          <cell r="F944">
            <v>37.630979000000004</v>
          </cell>
        </row>
        <row r="945">
          <cell r="A945">
            <v>9</v>
          </cell>
          <cell r="B945">
            <v>9901</v>
          </cell>
          <cell r="C945">
            <v>1</v>
          </cell>
          <cell r="D945">
            <v>52</v>
          </cell>
          <cell r="E945">
            <v>9.3696809999999999</v>
          </cell>
          <cell r="F945">
            <v>16.662714000000001</v>
          </cell>
        </row>
        <row r="946">
          <cell r="A946">
            <v>9</v>
          </cell>
          <cell r="B946">
            <v>9901</v>
          </cell>
          <cell r="C946">
            <v>1</v>
          </cell>
          <cell r="D946">
            <v>591</v>
          </cell>
          <cell r="E946">
            <v>0.1</v>
          </cell>
          <cell r="F946">
            <v>0.1</v>
          </cell>
        </row>
        <row r="947">
          <cell r="A947">
            <v>9</v>
          </cell>
          <cell r="B947">
            <v>9905</v>
          </cell>
          <cell r="C947">
            <v>1</v>
          </cell>
          <cell r="D947">
            <v>4</v>
          </cell>
          <cell r="E947">
            <v>-30.105551999999999</v>
          </cell>
          <cell r="F947">
            <v>-119.786401</v>
          </cell>
        </row>
        <row r="948">
          <cell r="A948">
            <v>9</v>
          </cell>
          <cell r="B948">
            <v>9905</v>
          </cell>
          <cell r="C948">
            <v>1</v>
          </cell>
          <cell r="D948">
            <v>51</v>
          </cell>
          <cell r="E948">
            <v>11.01305</v>
          </cell>
          <cell r="F948">
            <v>33.151406999999999</v>
          </cell>
        </row>
        <row r="949">
          <cell r="A949">
            <v>9</v>
          </cell>
          <cell r="B949">
            <v>9905</v>
          </cell>
          <cell r="C949">
            <v>1</v>
          </cell>
          <cell r="D949">
            <v>52</v>
          </cell>
          <cell r="E949">
            <v>18.945423000000002</v>
          </cell>
          <cell r="F949">
            <v>92.197665999999998</v>
          </cell>
        </row>
        <row r="950">
          <cell r="A950">
            <v>9</v>
          </cell>
          <cell r="B950">
            <v>9905</v>
          </cell>
          <cell r="C950">
            <v>1</v>
          </cell>
          <cell r="D950">
            <v>591</v>
          </cell>
          <cell r="E950">
            <v>2.5000000000000001E-2</v>
          </cell>
          <cell r="F950">
            <v>9.9000000000000005E-2</v>
          </cell>
        </row>
        <row r="951">
          <cell r="A951">
            <v>9</v>
          </cell>
          <cell r="B951">
            <v>9971</v>
          </cell>
          <cell r="C951">
            <v>6</v>
          </cell>
          <cell r="D951">
            <v>52</v>
          </cell>
          <cell r="E951">
            <v>252.119912</v>
          </cell>
          <cell r="F951">
            <v>992.07308</v>
          </cell>
        </row>
        <row r="952">
          <cell r="A952">
            <v>9</v>
          </cell>
          <cell r="B952">
            <v>9976</v>
          </cell>
          <cell r="C952">
            <v>1</v>
          </cell>
          <cell r="D952">
            <v>52</v>
          </cell>
          <cell r="E952">
            <v>0</v>
          </cell>
          <cell r="F952">
            <v>7.6464790000000002</v>
          </cell>
        </row>
        <row r="953">
          <cell r="A953">
            <v>9</v>
          </cell>
          <cell r="B953">
            <v>9977</v>
          </cell>
          <cell r="C953">
            <v>1</v>
          </cell>
          <cell r="D953">
            <v>51</v>
          </cell>
          <cell r="E953">
            <v>2.7761749999999998</v>
          </cell>
          <cell r="F953">
            <v>2.7761749999999998</v>
          </cell>
        </row>
        <row r="954">
          <cell r="A954">
            <v>9</v>
          </cell>
          <cell r="B954">
            <v>9977</v>
          </cell>
          <cell r="C954">
            <v>1</v>
          </cell>
          <cell r="D954">
            <v>52</v>
          </cell>
          <cell r="E954">
            <v>2.1017000000000001E-2</v>
          </cell>
          <cell r="F954">
            <v>1.981525</v>
          </cell>
        </row>
        <row r="955">
          <cell r="A955">
            <v>9</v>
          </cell>
          <cell r="B955">
            <v>9980</v>
          </cell>
          <cell r="C955">
            <v>1</v>
          </cell>
          <cell r="D955">
            <v>4</v>
          </cell>
          <cell r="E955">
            <v>-19.027688999999999</v>
          </cell>
          <cell r="F955">
            <v>-61.412427000000001</v>
          </cell>
        </row>
        <row r="956">
          <cell r="A956">
            <v>9</v>
          </cell>
          <cell r="B956">
            <v>9980</v>
          </cell>
          <cell r="C956">
            <v>1</v>
          </cell>
          <cell r="D956">
            <v>51</v>
          </cell>
          <cell r="E956">
            <v>8.2369830000000004</v>
          </cell>
          <cell r="F956">
            <v>24.953956999999999</v>
          </cell>
        </row>
        <row r="957">
          <cell r="A957">
            <v>9</v>
          </cell>
          <cell r="B957">
            <v>9980</v>
          </cell>
          <cell r="C957">
            <v>1</v>
          </cell>
          <cell r="D957">
            <v>52</v>
          </cell>
          <cell r="E957">
            <v>12.203275999999999</v>
          </cell>
          <cell r="F957">
            <v>34.540509999999998</v>
          </cell>
        </row>
        <row r="958">
          <cell r="A958">
            <v>9</v>
          </cell>
          <cell r="B958">
            <v>9980</v>
          </cell>
          <cell r="C958">
            <v>6</v>
          </cell>
          <cell r="D958">
            <v>52</v>
          </cell>
          <cell r="E958">
            <v>0.93985200000000002</v>
          </cell>
          <cell r="F958">
            <v>0.93985200000000002</v>
          </cell>
        </row>
        <row r="959">
          <cell r="A959">
            <v>9</v>
          </cell>
          <cell r="B959">
            <v>9981</v>
          </cell>
          <cell r="C959">
            <v>6</v>
          </cell>
          <cell r="D959">
            <v>52</v>
          </cell>
          <cell r="E959">
            <v>6.1245979999999998</v>
          </cell>
          <cell r="F959">
            <v>17.056747999999999</v>
          </cell>
        </row>
        <row r="960">
          <cell r="A960">
            <v>9</v>
          </cell>
          <cell r="B960">
            <v>9984</v>
          </cell>
          <cell r="C960">
            <v>1</v>
          </cell>
          <cell r="D960">
            <v>4</v>
          </cell>
          <cell r="E960">
            <v>-237.80121800000001</v>
          </cell>
          <cell r="F960">
            <v>-838.52390600000001</v>
          </cell>
        </row>
        <row r="961">
          <cell r="A961">
            <v>9</v>
          </cell>
          <cell r="B961">
            <v>9984</v>
          </cell>
          <cell r="C961">
            <v>1</v>
          </cell>
          <cell r="D961">
            <v>51</v>
          </cell>
          <cell r="E961">
            <v>6.7142879999999998</v>
          </cell>
          <cell r="F961">
            <v>19.733125000000001</v>
          </cell>
        </row>
        <row r="962">
          <cell r="A962">
            <v>9</v>
          </cell>
          <cell r="B962">
            <v>9984</v>
          </cell>
          <cell r="C962">
            <v>1</v>
          </cell>
          <cell r="D962">
            <v>52</v>
          </cell>
          <cell r="E962">
            <v>81.410219999999995</v>
          </cell>
          <cell r="F962">
            <v>644.68231300000002</v>
          </cell>
        </row>
        <row r="963">
          <cell r="A963">
            <v>9</v>
          </cell>
          <cell r="B963">
            <v>9984</v>
          </cell>
          <cell r="C963">
            <v>5</v>
          </cell>
          <cell r="D963">
            <v>52</v>
          </cell>
          <cell r="E963">
            <v>169.074029</v>
          </cell>
          <cell r="F963">
            <v>427.59987799999999</v>
          </cell>
        </row>
        <row r="964">
          <cell r="A964">
            <v>9</v>
          </cell>
          <cell r="B964">
            <v>9991</v>
          </cell>
          <cell r="C964">
            <v>1</v>
          </cell>
          <cell r="D964">
            <v>591</v>
          </cell>
          <cell r="E964">
            <v>-2.6599999999999999E-2</v>
          </cell>
          <cell r="F964">
            <v>14.299524</v>
          </cell>
        </row>
        <row r="965">
          <cell r="A965">
            <v>9</v>
          </cell>
          <cell r="B965">
            <v>9994</v>
          </cell>
          <cell r="C965">
            <v>1</v>
          </cell>
          <cell r="D965">
            <v>52</v>
          </cell>
          <cell r="E965">
            <v>9.6844020000000004</v>
          </cell>
          <cell r="F965">
            <v>16.376473000000001</v>
          </cell>
        </row>
        <row r="966">
          <cell r="A966">
            <v>9</v>
          </cell>
          <cell r="B966">
            <v>9999</v>
          </cell>
          <cell r="C966">
            <v>1</v>
          </cell>
          <cell r="D966">
            <v>4</v>
          </cell>
          <cell r="E966">
            <v>-1.9950000000000001</v>
          </cell>
          <cell r="F966">
            <v>-12.751892</v>
          </cell>
        </row>
        <row r="967">
          <cell r="A967">
            <v>9</v>
          </cell>
          <cell r="B967">
            <v>9999</v>
          </cell>
          <cell r="C967">
            <v>1</v>
          </cell>
          <cell r="D967">
            <v>51</v>
          </cell>
          <cell r="E967">
            <v>10.537291</v>
          </cell>
          <cell r="F967">
            <v>19.689869999999999</v>
          </cell>
        </row>
        <row r="968">
          <cell r="A968">
            <v>9</v>
          </cell>
          <cell r="B968">
            <v>9999</v>
          </cell>
          <cell r="C968">
            <v>1</v>
          </cell>
          <cell r="D968">
            <v>52</v>
          </cell>
          <cell r="E968">
            <v>126.723022</v>
          </cell>
          <cell r="F968">
            <v>269.93860900000004</v>
          </cell>
        </row>
        <row r="969">
          <cell r="A969">
            <v>9</v>
          </cell>
          <cell r="B969">
            <v>9999</v>
          </cell>
          <cell r="C969">
            <v>1</v>
          </cell>
          <cell r="D969">
            <v>591</v>
          </cell>
          <cell r="E969">
            <v>30.523076</v>
          </cell>
          <cell r="F969">
            <v>370.008599</v>
          </cell>
        </row>
        <row r="970">
          <cell r="A970">
            <v>9</v>
          </cell>
          <cell r="B970">
            <v>9999</v>
          </cell>
          <cell r="C970">
            <v>6</v>
          </cell>
          <cell r="D970">
            <v>52</v>
          </cell>
          <cell r="E970">
            <v>0</v>
          </cell>
          <cell r="F970">
            <v>5.0205E-2</v>
          </cell>
        </row>
        <row r="971">
          <cell r="A971">
            <v>10</v>
          </cell>
          <cell r="B971">
            <v>10101</v>
          </cell>
          <cell r="C971">
            <v>1</v>
          </cell>
          <cell r="D971">
            <v>4</v>
          </cell>
          <cell r="E971">
            <v>0</v>
          </cell>
          <cell r="F971">
            <v>-0.4</v>
          </cell>
        </row>
        <row r="972">
          <cell r="A972">
            <v>10</v>
          </cell>
          <cell r="B972">
            <v>10101</v>
          </cell>
          <cell r="C972">
            <v>1</v>
          </cell>
          <cell r="D972">
            <v>51</v>
          </cell>
          <cell r="E972">
            <v>20.779906</v>
          </cell>
          <cell r="F972">
            <v>62.486148</v>
          </cell>
        </row>
        <row r="973">
          <cell r="A973">
            <v>10</v>
          </cell>
          <cell r="B973">
            <v>10101</v>
          </cell>
          <cell r="C973">
            <v>1</v>
          </cell>
          <cell r="D973">
            <v>52</v>
          </cell>
          <cell r="E973">
            <v>9.333793</v>
          </cell>
          <cell r="F973">
            <v>25.315422999999999</v>
          </cell>
        </row>
        <row r="974">
          <cell r="A974">
            <v>10</v>
          </cell>
          <cell r="B974">
            <v>10101</v>
          </cell>
          <cell r="C974">
            <v>1</v>
          </cell>
          <cell r="D974">
            <v>591</v>
          </cell>
          <cell r="E974">
            <v>0.02</v>
          </cell>
          <cell r="F974">
            <v>0.14000000000000001</v>
          </cell>
        </row>
        <row r="975">
          <cell r="A975">
            <v>10</v>
          </cell>
          <cell r="B975">
            <v>10190</v>
          </cell>
          <cell r="C975">
            <v>1</v>
          </cell>
          <cell r="D975">
            <v>51</v>
          </cell>
          <cell r="E975">
            <v>0.77887399999999996</v>
          </cell>
          <cell r="F975">
            <v>2.5850399999999998</v>
          </cell>
        </row>
        <row r="976">
          <cell r="A976">
            <v>10</v>
          </cell>
          <cell r="B976">
            <v>10190</v>
          </cell>
          <cell r="C976">
            <v>1</v>
          </cell>
          <cell r="D976">
            <v>52</v>
          </cell>
          <cell r="E976">
            <v>5.4627000000000002E-2</v>
          </cell>
          <cell r="F976">
            <v>2.2041339999999998</v>
          </cell>
        </row>
        <row r="977">
          <cell r="A977">
            <v>10</v>
          </cell>
          <cell r="B977">
            <v>10190</v>
          </cell>
          <cell r="C977">
            <v>1</v>
          </cell>
          <cell r="D977">
            <v>591</v>
          </cell>
          <cell r="E977">
            <v>4.7736000000000001</v>
          </cell>
          <cell r="F977">
            <v>13.5252</v>
          </cell>
        </row>
        <row r="978">
          <cell r="A978">
            <v>10</v>
          </cell>
          <cell r="B978">
            <v>10211</v>
          </cell>
          <cell r="C978">
            <v>1</v>
          </cell>
          <cell r="D978">
            <v>4</v>
          </cell>
          <cell r="E978">
            <v>-601.98894800000005</v>
          </cell>
          <cell r="F978">
            <v>-1698.5863019999999</v>
          </cell>
        </row>
        <row r="979">
          <cell r="A979">
            <v>10</v>
          </cell>
          <cell r="B979">
            <v>10211</v>
          </cell>
          <cell r="C979">
            <v>1</v>
          </cell>
          <cell r="D979">
            <v>51</v>
          </cell>
          <cell r="E979">
            <v>177.867366</v>
          </cell>
          <cell r="F979">
            <v>531.37117699999999</v>
          </cell>
        </row>
        <row r="980">
          <cell r="A980">
            <v>10</v>
          </cell>
          <cell r="B980">
            <v>10211</v>
          </cell>
          <cell r="C980">
            <v>1</v>
          </cell>
          <cell r="D980">
            <v>52</v>
          </cell>
          <cell r="E980">
            <v>469.07868999999999</v>
          </cell>
          <cell r="F980">
            <v>1302.6008919999999</v>
          </cell>
        </row>
        <row r="981">
          <cell r="A981">
            <v>10</v>
          </cell>
          <cell r="B981">
            <v>10211</v>
          </cell>
          <cell r="C981">
            <v>1</v>
          </cell>
          <cell r="D981">
            <v>591</v>
          </cell>
          <cell r="E981">
            <v>1.5312969999999999</v>
          </cell>
          <cell r="F981">
            <v>5.131297</v>
          </cell>
        </row>
        <row r="982">
          <cell r="A982">
            <v>10</v>
          </cell>
          <cell r="B982">
            <v>10212</v>
          </cell>
          <cell r="C982">
            <v>1</v>
          </cell>
          <cell r="D982">
            <v>4</v>
          </cell>
          <cell r="E982">
            <v>-0.92706100000000002</v>
          </cell>
          <cell r="F982">
            <v>-2.922202</v>
          </cell>
        </row>
        <row r="983">
          <cell r="A983">
            <v>10</v>
          </cell>
          <cell r="B983">
            <v>10212</v>
          </cell>
          <cell r="C983">
            <v>1</v>
          </cell>
          <cell r="D983">
            <v>52</v>
          </cell>
          <cell r="E983">
            <v>362.94090399999999</v>
          </cell>
          <cell r="F983">
            <v>827.05644500000005</v>
          </cell>
        </row>
        <row r="984">
          <cell r="A984">
            <v>10</v>
          </cell>
          <cell r="B984">
            <v>10212</v>
          </cell>
          <cell r="C984">
            <v>1</v>
          </cell>
          <cell r="D984">
            <v>591</v>
          </cell>
          <cell r="E984">
            <v>161.98810399999999</v>
          </cell>
          <cell r="F984">
            <v>380.35648800000001</v>
          </cell>
        </row>
        <row r="985">
          <cell r="A985">
            <v>10</v>
          </cell>
          <cell r="B985">
            <v>10212</v>
          </cell>
          <cell r="C985">
            <v>5</v>
          </cell>
          <cell r="D985">
            <v>52</v>
          </cell>
          <cell r="E985">
            <v>31.251187000000002</v>
          </cell>
          <cell r="F985">
            <v>86.769469000000001</v>
          </cell>
        </row>
        <row r="986">
          <cell r="A986">
            <v>10</v>
          </cell>
          <cell r="B986">
            <v>10212</v>
          </cell>
          <cell r="C986">
            <v>5</v>
          </cell>
          <cell r="D986">
            <v>591</v>
          </cell>
          <cell r="E986">
            <v>5</v>
          </cell>
          <cell r="F986">
            <v>5.5</v>
          </cell>
        </row>
        <row r="987">
          <cell r="A987">
            <v>10</v>
          </cell>
          <cell r="B987">
            <v>10212</v>
          </cell>
          <cell r="C987">
            <v>6</v>
          </cell>
          <cell r="D987">
            <v>4</v>
          </cell>
          <cell r="E987">
            <v>-6.0000000000000001E-3</v>
          </cell>
          <cell r="F987">
            <v>-12.900373</v>
          </cell>
        </row>
        <row r="988">
          <cell r="A988">
            <v>10</v>
          </cell>
          <cell r="B988">
            <v>10212</v>
          </cell>
          <cell r="C988">
            <v>6</v>
          </cell>
          <cell r="D988">
            <v>52</v>
          </cell>
          <cell r="E988">
            <v>791.72032999999999</v>
          </cell>
          <cell r="F988">
            <v>1851.9371510000001</v>
          </cell>
        </row>
        <row r="989">
          <cell r="A989">
            <v>10</v>
          </cell>
          <cell r="B989">
            <v>10212</v>
          </cell>
          <cell r="C989">
            <v>6</v>
          </cell>
          <cell r="D989">
            <v>591</v>
          </cell>
          <cell r="E989">
            <v>1.3</v>
          </cell>
          <cell r="F989">
            <v>2.8354560000000002</v>
          </cell>
        </row>
        <row r="990">
          <cell r="A990">
            <v>10</v>
          </cell>
          <cell r="B990">
            <v>10251</v>
          </cell>
          <cell r="C990">
            <v>1</v>
          </cell>
          <cell r="D990">
            <v>4</v>
          </cell>
          <cell r="E990">
            <v>-28.272167</v>
          </cell>
          <cell r="F990">
            <v>-36.394508000000002</v>
          </cell>
        </row>
        <row r="991">
          <cell r="A991">
            <v>10</v>
          </cell>
          <cell r="B991">
            <v>10251</v>
          </cell>
          <cell r="C991">
            <v>1</v>
          </cell>
          <cell r="D991">
            <v>51</v>
          </cell>
          <cell r="E991">
            <v>41.050356000000001</v>
          </cell>
          <cell r="F991">
            <v>96.210289000000003</v>
          </cell>
        </row>
        <row r="992">
          <cell r="A992">
            <v>10</v>
          </cell>
          <cell r="B992">
            <v>10251</v>
          </cell>
          <cell r="C992">
            <v>1</v>
          </cell>
          <cell r="D992">
            <v>52</v>
          </cell>
          <cell r="E992">
            <v>18.595352999999999</v>
          </cell>
          <cell r="F992">
            <v>25.447832999999999</v>
          </cell>
        </row>
        <row r="993">
          <cell r="A993">
            <v>10</v>
          </cell>
          <cell r="B993">
            <v>10281</v>
          </cell>
          <cell r="C993">
            <v>1</v>
          </cell>
          <cell r="D993">
            <v>51</v>
          </cell>
          <cell r="E993">
            <v>2.2935409999999998</v>
          </cell>
          <cell r="F993">
            <v>7.0478100000000001</v>
          </cell>
        </row>
        <row r="994">
          <cell r="A994">
            <v>10</v>
          </cell>
          <cell r="B994">
            <v>10281</v>
          </cell>
          <cell r="C994">
            <v>1</v>
          </cell>
          <cell r="D994">
            <v>52</v>
          </cell>
          <cell r="E994">
            <v>0.16308900000000001</v>
          </cell>
          <cell r="F994">
            <v>0.95796499999999996</v>
          </cell>
        </row>
        <row r="995">
          <cell r="A995">
            <v>10</v>
          </cell>
          <cell r="B995">
            <v>10281</v>
          </cell>
          <cell r="C995">
            <v>1</v>
          </cell>
          <cell r="D995">
            <v>591</v>
          </cell>
          <cell r="E995">
            <v>5.0000000000000001E-3</v>
          </cell>
          <cell r="F995">
            <v>5.0000000000000001E-3</v>
          </cell>
        </row>
        <row r="996">
          <cell r="A996">
            <v>10</v>
          </cell>
          <cell r="B996">
            <v>10335</v>
          </cell>
          <cell r="C996">
            <v>1</v>
          </cell>
          <cell r="D996">
            <v>4</v>
          </cell>
          <cell r="E996">
            <v>-23.093367000000001</v>
          </cell>
          <cell r="F996">
            <v>-55.294258999999997</v>
          </cell>
        </row>
        <row r="997">
          <cell r="A997">
            <v>10</v>
          </cell>
          <cell r="B997">
            <v>10335</v>
          </cell>
          <cell r="C997">
            <v>1</v>
          </cell>
          <cell r="D997">
            <v>51</v>
          </cell>
          <cell r="E997">
            <v>37.126188999999997</v>
          </cell>
          <cell r="F997">
            <v>113.635239</v>
          </cell>
        </row>
        <row r="998">
          <cell r="A998">
            <v>10</v>
          </cell>
          <cell r="B998">
            <v>10335</v>
          </cell>
          <cell r="C998">
            <v>1</v>
          </cell>
          <cell r="D998">
            <v>52</v>
          </cell>
          <cell r="E998">
            <v>40.230741000000002</v>
          </cell>
          <cell r="F998">
            <v>119.00815900000001</v>
          </cell>
        </row>
        <row r="999">
          <cell r="A999">
            <v>10</v>
          </cell>
          <cell r="B999">
            <v>10335</v>
          </cell>
          <cell r="C999">
            <v>6</v>
          </cell>
          <cell r="D999">
            <v>52</v>
          </cell>
          <cell r="E999">
            <v>0.38908500000000001</v>
          </cell>
          <cell r="F999">
            <v>0.46761999999999998</v>
          </cell>
        </row>
        <row r="1000">
          <cell r="A1000">
            <v>10</v>
          </cell>
          <cell r="B1000">
            <v>10335</v>
          </cell>
          <cell r="C1000">
            <v>6</v>
          </cell>
          <cell r="D1000">
            <v>591</v>
          </cell>
          <cell r="E1000">
            <v>10.574386000000001</v>
          </cell>
          <cell r="F1000">
            <v>28.984348000000001</v>
          </cell>
        </row>
        <row r="1001">
          <cell r="A1001">
            <v>10</v>
          </cell>
          <cell r="B1001">
            <v>10336</v>
          </cell>
          <cell r="C1001">
            <v>1</v>
          </cell>
          <cell r="D1001">
            <v>52</v>
          </cell>
          <cell r="E1001">
            <v>9.5E-4</v>
          </cell>
          <cell r="F1001">
            <v>0.144285</v>
          </cell>
        </row>
        <row r="1002">
          <cell r="A1002">
            <v>10</v>
          </cell>
          <cell r="B1002">
            <v>10336</v>
          </cell>
          <cell r="C1002">
            <v>6</v>
          </cell>
          <cell r="D1002">
            <v>52</v>
          </cell>
          <cell r="E1002">
            <v>88.929570999999996</v>
          </cell>
          <cell r="F1002">
            <v>232.505416</v>
          </cell>
        </row>
        <row r="1003">
          <cell r="A1003">
            <v>10</v>
          </cell>
          <cell r="B1003">
            <v>10336</v>
          </cell>
          <cell r="C1003">
            <v>6</v>
          </cell>
          <cell r="D1003">
            <v>591</v>
          </cell>
          <cell r="E1003">
            <v>19.901074999999999</v>
          </cell>
          <cell r="F1003">
            <v>38.425877999999997</v>
          </cell>
        </row>
        <row r="1004">
          <cell r="A1004">
            <v>10</v>
          </cell>
          <cell r="B1004">
            <v>10381</v>
          </cell>
          <cell r="C1004">
            <v>1</v>
          </cell>
          <cell r="D1004">
            <v>51</v>
          </cell>
          <cell r="E1004">
            <v>1.858403</v>
          </cell>
          <cell r="F1004">
            <v>5.6707320000000001</v>
          </cell>
        </row>
        <row r="1005">
          <cell r="A1005">
            <v>10</v>
          </cell>
          <cell r="B1005">
            <v>10381</v>
          </cell>
          <cell r="C1005">
            <v>1</v>
          </cell>
          <cell r="D1005">
            <v>52</v>
          </cell>
          <cell r="E1005">
            <v>0.46100799999999997</v>
          </cell>
          <cell r="F1005">
            <v>1.3330420000000001</v>
          </cell>
        </row>
        <row r="1006">
          <cell r="A1006">
            <v>10</v>
          </cell>
          <cell r="B1006">
            <v>10381</v>
          </cell>
          <cell r="C1006">
            <v>1</v>
          </cell>
          <cell r="D1006">
            <v>591</v>
          </cell>
          <cell r="E1006">
            <v>0.01</v>
          </cell>
          <cell r="F1006">
            <v>0.01</v>
          </cell>
        </row>
        <row r="1007">
          <cell r="A1007">
            <v>10</v>
          </cell>
          <cell r="B1007">
            <v>10471</v>
          </cell>
          <cell r="C1007">
            <v>1</v>
          </cell>
          <cell r="D1007">
            <v>4</v>
          </cell>
          <cell r="E1007">
            <v>-3.1550769999999999</v>
          </cell>
          <cell r="F1007">
            <v>-10.402593</v>
          </cell>
        </row>
        <row r="1008">
          <cell r="A1008">
            <v>10</v>
          </cell>
          <cell r="B1008">
            <v>10471</v>
          </cell>
          <cell r="C1008">
            <v>1</v>
          </cell>
          <cell r="D1008">
            <v>51</v>
          </cell>
          <cell r="E1008">
            <v>22.672864000000001</v>
          </cell>
          <cell r="F1008">
            <v>67.782024000000007</v>
          </cell>
        </row>
        <row r="1009">
          <cell r="A1009">
            <v>10</v>
          </cell>
          <cell r="B1009">
            <v>10471</v>
          </cell>
          <cell r="C1009">
            <v>1</v>
          </cell>
          <cell r="D1009">
            <v>52</v>
          </cell>
          <cell r="E1009">
            <v>10.973889</v>
          </cell>
          <cell r="F1009">
            <v>41.065627999999997</v>
          </cell>
        </row>
        <row r="1010">
          <cell r="A1010">
            <v>10</v>
          </cell>
          <cell r="B1010">
            <v>10475</v>
          </cell>
          <cell r="C1010">
            <v>1</v>
          </cell>
          <cell r="D1010">
            <v>52</v>
          </cell>
          <cell r="E1010">
            <v>81.5</v>
          </cell>
          <cell r="F1010">
            <v>244.5</v>
          </cell>
        </row>
        <row r="1011">
          <cell r="A1011">
            <v>10</v>
          </cell>
          <cell r="B1011">
            <v>10475</v>
          </cell>
          <cell r="C1011">
            <v>1</v>
          </cell>
          <cell r="D1011">
            <v>591</v>
          </cell>
          <cell r="E1011">
            <v>116.833333</v>
          </cell>
          <cell r="F1011">
            <v>350.499999</v>
          </cell>
        </row>
        <row r="1012">
          <cell r="A1012">
            <v>10</v>
          </cell>
          <cell r="B1012">
            <v>10481</v>
          </cell>
          <cell r="C1012">
            <v>1</v>
          </cell>
          <cell r="D1012">
            <v>51</v>
          </cell>
          <cell r="E1012">
            <v>2.2792880000000002</v>
          </cell>
          <cell r="F1012">
            <v>5.2734480000000001</v>
          </cell>
        </row>
        <row r="1013">
          <cell r="A1013">
            <v>10</v>
          </cell>
          <cell r="B1013">
            <v>10481</v>
          </cell>
          <cell r="C1013">
            <v>1</v>
          </cell>
          <cell r="D1013">
            <v>52</v>
          </cell>
          <cell r="E1013">
            <v>0.90281199999999995</v>
          </cell>
          <cell r="F1013">
            <v>3.453357</v>
          </cell>
        </row>
        <row r="1014">
          <cell r="A1014">
            <v>10</v>
          </cell>
          <cell r="B1014">
            <v>10512</v>
          </cell>
          <cell r="C1014">
            <v>1</v>
          </cell>
          <cell r="D1014">
            <v>4</v>
          </cell>
          <cell r="E1014">
            <v>0</v>
          </cell>
          <cell r="F1014">
            <v>-4.1771000000000003E-2</v>
          </cell>
        </row>
        <row r="1015">
          <cell r="A1015">
            <v>10</v>
          </cell>
          <cell r="B1015">
            <v>10512</v>
          </cell>
          <cell r="C1015">
            <v>1</v>
          </cell>
          <cell r="D1015">
            <v>51</v>
          </cell>
          <cell r="E1015">
            <v>14.106903000000001</v>
          </cell>
          <cell r="F1015">
            <v>44.482360999999997</v>
          </cell>
        </row>
        <row r="1016">
          <cell r="A1016">
            <v>10</v>
          </cell>
          <cell r="B1016">
            <v>10512</v>
          </cell>
          <cell r="C1016">
            <v>1</v>
          </cell>
          <cell r="D1016">
            <v>52</v>
          </cell>
          <cell r="E1016">
            <v>6.7476349999999998</v>
          </cell>
          <cell r="F1016">
            <v>23.511399000000001</v>
          </cell>
        </row>
        <row r="1017">
          <cell r="A1017">
            <v>10</v>
          </cell>
          <cell r="B1017">
            <v>10512</v>
          </cell>
          <cell r="C1017">
            <v>1</v>
          </cell>
          <cell r="D1017">
            <v>591</v>
          </cell>
          <cell r="E1017">
            <v>16.589950999999999</v>
          </cell>
          <cell r="F1017">
            <v>22.349772999999999</v>
          </cell>
        </row>
        <row r="1018">
          <cell r="A1018">
            <v>10</v>
          </cell>
          <cell r="B1018">
            <v>10521</v>
          </cell>
          <cell r="C1018">
            <v>6</v>
          </cell>
          <cell r="D1018">
            <v>51</v>
          </cell>
          <cell r="E1018">
            <v>0.34206999999999999</v>
          </cell>
          <cell r="F1018">
            <v>1.0262100000000001</v>
          </cell>
        </row>
        <row r="1019">
          <cell r="A1019">
            <v>10</v>
          </cell>
          <cell r="B1019">
            <v>10521</v>
          </cell>
          <cell r="C1019">
            <v>6</v>
          </cell>
          <cell r="D1019">
            <v>52</v>
          </cell>
          <cell r="E1019">
            <v>20.074244</v>
          </cell>
          <cell r="F1019">
            <v>71.273702999999998</v>
          </cell>
        </row>
        <row r="1020">
          <cell r="A1020">
            <v>10</v>
          </cell>
          <cell r="B1020">
            <v>10801</v>
          </cell>
          <cell r="C1020">
            <v>1</v>
          </cell>
          <cell r="D1020">
            <v>591</v>
          </cell>
          <cell r="E1020">
            <v>1238.5640000000001</v>
          </cell>
          <cell r="F1020">
            <v>3400.1295</v>
          </cell>
        </row>
        <row r="1021">
          <cell r="A1021">
            <v>11</v>
          </cell>
          <cell r="B1021">
            <v>11101</v>
          </cell>
          <cell r="C1021">
            <v>1</v>
          </cell>
          <cell r="D1021">
            <v>4</v>
          </cell>
          <cell r="E1021">
            <v>0</v>
          </cell>
          <cell r="F1021">
            <v>-3.4491369999999999</v>
          </cell>
        </row>
        <row r="1022">
          <cell r="A1022">
            <v>11</v>
          </cell>
          <cell r="B1022">
            <v>11101</v>
          </cell>
          <cell r="C1022">
            <v>1</v>
          </cell>
          <cell r="D1022">
            <v>51</v>
          </cell>
          <cell r="E1022">
            <v>12.365323999999999</v>
          </cell>
          <cell r="F1022">
            <v>37.538893000000002</v>
          </cell>
        </row>
        <row r="1023">
          <cell r="A1023">
            <v>11</v>
          </cell>
          <cell r="B1023">
            <v>11101</v>
          </cell>
          <cell r="C1023">
            <v>1</v>
          </cell>
          <cell r="D1023">
            <v>52</v>
          </cell>
          <cell r="E1023">
            <v>3.0179070000000001</v>
          </cell>
          <cell r="F1023">
            <v>13.033436999999999</v>
          </cell>
        </row>
        <row r="1024">
          <cell r="A1024">
            <v>11</v>
          </cell>
          <cell r="B1024">
            <v>11205</v>
          </cell>
          <cell r="C1024">
            <v>1</v>
          </cell>
          <cell r="D1024">
            <v>4</v>
          </cell>
          <cell r="E1024">
            <v>-42.525486000000001</v>
          </cell>
          <cell r="F1024">
            <v>-76.500570999999994</v>
          </cell>
        </row>
        <row r="1025">
          <cell r="A1025">
            <v>11</v>
          </cell>
          <cell r="B1025">
            <v>11205</v>
          </cell>
          <cell r="C1025">
            <v>1</v>
          </cell>
          <cell r="D1025">
            <v>51</v>
          </cell>
          <cell r="E1025">
            <v>49.319868999999997</v>
          </cell>
          <cell r="F1025">
            <v>156.68115700000001</v>
          </cell>
        </row>
        <row r="1026">
          <cell r="A1026">
            <v>11</v>
          </cell>
          <cell r="B1026">
            <v>11205</v>
          </cell>
          <cell r="C1026">
            <v>1</v>
          </cell>
          <cell r="D1026">
            <v>52</v>
          </cell>
          <cell r="E1026">
            <v>20.983594</v>
          </cell>
          <cell r="F1026">
            <v>52.687832</v>
          </cell>
        </row>
        <row r="1027">
          <cell r="A1027">
            <v>11</v>
          </cell>
          <cell r="B1027">
            <v>11205</v>
          </cell>
          <cell r="C1027">
            <v>1</v>
          </cell>
          <cell r="D1027">
            <v>591</v>
          </cell>
          <cell r="E1027">
            <v>14.957236</v>
          </cell>
          <cell r="F1027">
            <v>32.412166999999997</v>
          </cell>
        </row>
        <row r="1028">
          <cell r="A1028">
            <v>11</v>
          </cell>
          <cell r="B1028">
            <v>11240</v>
          </cell>
          <cell r="C1028">
            <v>1</v>
          </cell>
          <cell r="D1028">
            <v>51</v>
          </cell>
          <cell r="E1028">
            <v>0.45318000000000003</v>
          </cell>
          <cell r="F1028">
            <v>1.0662830000000001</v>
          </cell>
        </row>
        <row r="1029">
          <cell r="A1029">
            <v>11</v>
          </cell>
          <cell r="B1029">
            <v>11240</v>
          </cell>
          <cell r="C1029">
            <v>1</v>
          </cell>
          <cell r="D1029">
            <v>52</v>
          </cell>
          <cell r="E1029">
            <v>3.5231999999999999E-2</v>
          </cell>
          <cell r="F1029">
            <v>2.2197870000000002</v>
          </cell>
        </row>
        <row r="1030">
          <cell r="A1030">
            <v>11</v>
          </cell>
          <cell r="B1030">
            <v>11242</v>
          </cell>
          <cell r="C1030">
            <v>1</v>
          </cell>
          <cell r="D1030">
            <v>52</v>
          </cell>
          <cell r="E1030">
            <v>0</v>
          </cell>
          <cell r="F1030">
            <v>0.11700000000000001</v>
          </cell>
        </row>
        <row r="1031">
          <cell r="A1031">
            <v>11</v>
          </cell>
          <cell r="B1031">
            <v>11242</v>
          </cell>
          <cell r="C1031">
            <v>1</v>
          </cell>
          <cell r="D1031">
            <v>591</v>
          </cell>
          <cell r="E1031">
            <v>96.41</v>
          </cell>
          <cell r="F1031">
            <v>172.78</v>
          </cell>
        </row>
        <row r="1032">
          <cell r="A1032">
            <v>11</v>
          </cell>
          <cell r="B1032">
            <v>11245</v>
          </cell>
          <cell r="C1032">
            <v>1</v>
          </cell>
          <cell r="D1032">
            <v>591</v>
          </cell>
          <cell r="E1032">
            <v>32.927936000000003</v>
          </cell>
          <cell r="F1032">
            <v>81.300473999999994</v>
          </cell>
        </row>
        <row r="1033">
          <cell r="A1033">
            <v>11</v>
          </cell>
          <cell r="B1033">
            <v>11251</v>
          </cell>
          <cell r="C1033">
            <v>1</v>
          </cell>
          <cell r="D1033">
            <v>591</v>
          </cell>
          <cell r="E1033">
            <v>29.302918999999999</v>
          </cell>
          <cell r="F1033">
            <v>109.648554</v>
          </cell>
        </row>
        <row r="1034">
          <cell r="A1034">
            <v>11</v>
          </cell>
          <cell r="B1034">
            <v>11299</v>
          </cell>
          <cell r="C1034">
            <v>1</v>
          </cell>
          <cell r="D1034">
            <v>51</v>
          </cell>
          <cell r="E1034">
            <v>1.1118790000000001</v>
          </cell>
          <cell r="F1034">
            <v>1.1118790000000001</v>
          </cell>
        </row>
        <row r="1035">
          <cell r="A1035">
            <v>11</v>
          </cell>
          <cell r="B1035">
            <v>11299</v>
          </cell>
          <cell r="C1035">
            <v>1</v>
          </cell>
          <cell r="D1035">
            <v>52</v>
          </cell>
          <cell r="E1035">
            <v>0.22945099999999999</v>
          </cell>
          <cell r="F1035">
            <v>0.29570400000000002</v>
          </cell>
        </row>
        <row r="1036">
          <cell r="A1036">
            <v>11</v>
          </cell>
          <cell r="B1036">
            <v>11299</v>
          </cell>
          <cell r="C1036">
            <v>1</v>
          </cell>
          <cell r="D1036">
            <v>591</v>
          </cell>
          <cell r="E1036">
            <v>16.615860999999999</v>
          </cell>
          <cell r="F1036">
            <v>48.840860999999997</v>
          </cell>
        </row>
        <row r="1037">
          <cell r="A1037">
            <v>11</v>
          </cell>
          <cell r="B1037">
            <v>11301</v>
          </cell>
          <cell r="C1037">
            <v>1</v>
          </cell>
          <cell r="D1037">
            <v>4</v>
          </cell>
          <cell r="E1037">
            <v>-9.9999000000000005E-2</v>
          </cell>
          <cell r="F1037">
            <v>-0.17249</v>
          </cell>
        </row>
        <row r="1038">
          <cell r="A1038">
            <v>11</v>
          </cell>
          <cell r="B1038">
            <v>11301</v>
          </cell>
          <cell r="C1038">
            <v>1</v>
          </cell>
          <cell r="D1038">
            <v>51</v>
          </cell>
          <cell r="E1038">
            <v>31.481369999999998</v>
          </cell>
          <cell r="F1038">
            <v>71.783983000000006</v>
          </cell>
        </row>
        <row r="1039">
          <cell r="A1039">
            <v>11</v>
          </cell>
          <cell r="B1039">
            <v>11301</v>
          </cell>
          <cell r="C1039">
            <v>1</v>
          </cell>
          <cell r="D1039">
            <v>52</v>
          </cell>
          <cell r="E1039">
            <v>13.037763</v>
          </cell>
          <cell r="F1039">
            <v>86.999302999999998</v>
          </cell>
        </row>
        <row r="1040">
          <cell r="A1040">
            <v>11</v>
          </cell>
          <cell r="B1040">
            <v>11371</v>
          </cell>
          <cell r="C1040">
            <v>1</v>
          </cell>
          <cell r="D1040">
            <v>591</v>
          </cell>
          <cell r="E1040">
            <v>0</v>
          </cell>
          <cell r="F1040">
            <v>9.2249999999999996</v>
          </cell>
        </row>
        <row r="1041">
          <cell r="A1041">
            <v>11</v>
          </cell>
          <cell r="B1041">
            <v>11373</v>
          </cell>
          <cell r="C1041">
            <v>1</v>
          </cell>
          <cell r="D1041">
            <v>52</v>
          </cell>
          <cell r="E1041">
            <v>1E-4</v>
          </cell>
          <cell r="F1041">
            <v>0.27379999999999999</v>
          </cell>
        </row>
        <row r="1042">
          <cell r="A1042">
            <v>11</v>
          </cell>
          <cell r="B1042">
            <v>11373</v>
          </cell>
          <cell r="C1042">
            <v>1</v>
          </cell>
          <cell r="D1042">
            <v>591</v>
          </cell>
          <cell r="E1042">
            <v>96.939966999999996</v>
          </cell>
          <cell r="F1042">
            <v>202.87023400000001</v>
          </cell>
        </row>
        <row r="1043">
          <cell r="A1043">
            <v>11</v>
          </cell>
          <cell r="B1043">
            <v>11375</v>
          </cell>
          <cell r="C1043">
            <v>1</v>
          </cell>
          <cell r="D1043">
            <v>591</v>
          </cell>
          <cell r="E1043">
            <v>0</v>
          </cell>
          <cell r="F1043">
            <v>118.7315</v>
          </cell>
        </row>
        <row r="1044">
          <cell r="A1044">
            <v>11</v>
          </cell>
          <cell r="B1044">
            <v>11399</v>
          </cell>
          <cell r="C1044">
            <v>1</v>
          </cell>
          <cell r="D1044">
            <v>51</v>
          </cell>
          <cell r="E1044">
            <v>0.56393800000000005</v>
          </cell>
          <cell r="F1044">
            <v>2.4366159999999999</v>
          </cell>
        </row>
        <row r="1045">
          <cell r="A1045">
            <v>11</v>
          </cell>
          <cell r="B1045">
            <v>11399</v>
          </cell>
          <cell r="C1045">
            <v>1</v>
          </cell>
          <cell r="D1045">
            <v>52</v>
          </cell>
          <cell r="E1045">
            <v>0.74339</v>
          </cell>
          <cell r="F1045">
            <v>1.240707</v>
          </cell>
        </row>
        <row r="1046">
          <cell r="A1046">
            <v>11</v>
          </cell>
          <cell r="B1046">
            <v>11399</v>
          </cell>
          <cell r="C1046">
            <v>1</v>
          </cell>
          <cell r="D1046">
            <v>591</v>
          </cell>
          <cell r="E1046">
            <v>0</v>
          </cell>
          <cell r="F1046">
            <v>12.945366999999999</v>
          </cell>
        </row>
        <row r="1047">
          <cell r="A1047">
            <v>11</v>
          </cell>
          <cell r="B1047">
            <v>11401</v>
          </cell>
          <cell r="C1047">
            <v>1</v>
          </cell>
          <cell r="D1047">
            <v>52</v>
          </cell>
          <cell r="E1047">
            <v>0</v>
          </cell>
          <cell r="F1047">
            <v>0.34514</v>
          </cell>
        </row>
        <row r="1048">
          <cell r="A1048">
            <v>11</v>
          </cell>
          <cell r="B1048">
            <v>11411</v>
          </cell>
          <cell r="C1048">
            <v>1</v>
          </cell>
          <cell r="D1048">
            <v>591</v>
          </cell>
          <cell r="E1048">
            <v>32.737349999999999</v>
          </cell>
          <cell r="F1048">
            <v>93.687349999999995</v>
          </cell>
        </row>
        <row r="1049">
          <cell r="A1049">
            <v>11</v>
          </cell>
          <cell r="B1049">
            <v>11501</v>
          </cell>
          <cell r="C1049">
            <v>1</v>
          </cell>
          <cell r="D1049">
            <v>4</v>
          </cell>
          <cell r="E1049">
            <v>-5.8228879999999998</v>
          </cell>
          <cell r="F1049">
            <v>-7.2019710000000003</v>
          </cell>
        </row>
        <row r="1050">
          <cell r="A1050">
            <v>11</v>
          </cell>
          <cell r="B1050">
            <v>11501</v>
          </cell>
          <cell r="C1050">
            <v>1</v>
          </cell>
          <cell r="D1050">
            <v>51</v>
          </cell>
          <cell r="E1050">
            <v>9.1594180000000005</v>
          </cell>
          <cell r="F1050">
            <v>27.547402999999999</v>
          </cell>
        </row>
        <row r="1051">
          <cell r="A1051">
            <v>11</v>
          </cell>
          <cell r="B1051">
            <v>11501</v>
          </cell>
          <cell r="C1051">
            <v>1</v>
          </cell>
          <cell r="D1051">
            <v>52</v>
          </cell>
          <cell r="E1051">
            <v>21.282533999999998</v>
          </cell>
          <cell r="F1051">
            <v>53.250757</v>
          </cell>
        </row>
        <row r="1052">
          <cell r="A1052">
            <v>11</v>
          </cell>
          <cell r="B1052">
            <v>11501</v>
          </cell>
          <cell r="C1052">
            <v>1</v>
          </cell>
          <cell r="D1052">
            <v>591</v>
          </cell>
          <cell r="E1052">
            <v>5.7249179999999997</v>
          </cell>
          <cell r="F1052">
            <v>13.786584</v>
          </cell>
        </row>
        <row r="1053">
          <cell r="A1053">
            <v>11</v>
          </cell>
          <cell r="B1053">
            <v>11599</v>
          </cell>
          <cell r="C1053">
            <v>1</v>
          </cell>
          <cell r="D1053">
            <v>52</v>
          </cell>
          <cell r="E1053">
            <v>0</v>
          </cell>
          <cell r="F1053">
            <v>6.588508</v>
          </cell>
        </row>
        <row r="1054">
          <cell r="A1054">
            <v>11</v>
          </cell>
          <cell r="B1054">
            <v>11599</v>
          </cell>
          <cell r="C1054">
            <v>1</v>
          </cell>
          <cell r="D1054">
            <v>591</v>
          </cell>
          <cell r="E1054">
            <v>34.316000000000003</v>
          </cell>
          <cell r="F1054">
            <v>50.866</v>
          </cell>
        </row>
        <row r="1055">
          <cell r="A1055">
            <v>12</v>
          </cell>
          <cell r="B1055">
            <v>12101</v>
          </cell>
          <cell r="C1055">
            <v>1</v>
          </cell>
          <cell r="D1055">
            <v>51</v>
          </cell>
          <cell r="E1055">
            <v>13.385522</v>
          </cell>
          <cell r="F1055">
            <v>41.030828</v>
          </cell>
        </row>
        <row r="1056">
          <cell r="A1056">
            <v>12</v>
          </cell>
          <cell r="B1056">
            <v>12101</v>
          </cell>
          <cell r="C1056">
            <v>1</v>
          </cell>
          <cell r="D1056">
            <v>52</v>
          </cell>
          <cell r="E1056">
            <v>5.8837840000000003</v>
          </cell>
          <cell r="F1056">
            <v>15.099674</v>
          </cell>
        </row>
        <row r="1057">
          <cell r="A1057">
            <v>12</v>
          </cell>
          <cell r="B1057">
            <v>12190</v>
          </cell>
          <cell r="C1057">
            <v>1</v>
          </cell>
          <cell r="D1057">
            <v>4</v>
          </cell>
          <cell r="E1057">
            <v>-0.08</v>
          </cell>
          <cell r="F1057">
            <v>-2.3002400000000001</v>
          </cell>
        </row>
        <row r="1058">
          <cell r="A1058">
            <v>12</v>
          </cell>
          <cell r="B1058">
            <v>12190</v>
          </cell>
          <cell r="C1058">
            <v>1</v>
          </cell>
          <cell r="D1058">
            <v>51</v>
          </cell>
          <cell r="E1058">
            <v>7.4296720000000001</v>
          </cell>
          <cell r="F1058">
            <v>12.284044</v>
          </cell>
        </row>
        <row r="1059">
          <cell r="A1059">
            <v>12</v>
          </cell>
          <cell r="B1059">
            <v>12190</v>
          </cell>
          <cell r="C1059">
            <v>1</v>
          </cell>
          <cell r="D1059">
            <v>52</v>
          </cell>
          <cell r="E1059">
            <v>0.31092700000000001</v>
          </cell>
          <cell r="F1059">
            <v>0.85880999999999996</v>
          </cell>
        </row>
        <row r="1060">
          <cell r="A1060">
            <v>12</v>
          </cell>
          <cell r="B1060">
            <v>12402</v>
          </cell>
          <cell r="C1060">
            <v>1</v>
          </cell>
          <cell r="D1060">
            <v>4</v>
          </cell>
          <cell r="E1060">
            <v>-1.085572</v>
          </cell>
          <cell r="F1060">
            <v>-1.7368030000000001</v>
          </cell>
        </row>
        <row r="1061">
          <cell r="A1061">
            <v>12</v>
          </cell>
          <cell r="B1061">
            <v>12402</v>
          </cell>
          <cell r="C1061">
            <v>1</v>
          </cell>
          <cell r="D1061">
            <v>51</v>
          </cell>
          <cell r="E1061">
            <v>61.424157000000001</v>
          </cell>
          <cell r="F1061">
            <v>183.886121</v>
          </cell>
        </row>
        <row r="1062">
          <cell r="A1062">
            <v>12</v>
          </cell>
          <cell r="B1062">
            <v>12402</v>
          </cell>
          <cell r="C1062">
            <v>1</v>
          </cell>
          <cell r="D1062">
            <v>52</v>
          </cell>
          <cell r="E1062">
            <v>44.757547000000002</v>
          </cell>
          <cell r="F1062">
            <v>64.188834999999997</v>
          </cell>
        </row>
        <row r="1063">
          <cell r="A1063">
            <v>12</v>
          </cell>
          <cell r="B1063">
            <v>12402</v>
          </cell>
          <cell r="C1063">
            <v>1</v>
          </cell>
          <cell r="D1063">
            <v>591</v>
          </cell>
          <cell r="E1063">
            <v>5.0000000000000001E-3</v>
          </cell>
          <cell r="F1063">
            <v>0.02</v>
          </cell>
        </row>
        <row r="1064">
          <cell r="A1064">
            <v>12</v>
          </cell>
          <cell r="B1064">
            <v>12411</v>
          </cell>
          <cell r="C1064">
            <v>1</v>
          </cell>
          <cell r="D1064">
            <v>51</v>
          </cell>
          <cell r="E1064">
            <v>17.340661999999998</v>
          </cell>
          <cell r="F1064">
            <v>50.083029000000003</v>
          </cell>
        </row>
        <row r="1065">
          <cell r="A1065">
            <v>12</v>
          </cell>
          <cell r="B1065">
            <v>12411</v>
          </cell>
          <cell r="C1065">
            <v>1</v>
          </cell>
          <cell r="D1065">
            <v>52</v>
          </cell>
          <cell r="E1065">
            <v>4.4353230000000003</v>
          </cell>
          <cell r="F1065">
            <v>16.197495</v>
          </cell>
        </row>
        <row r="1066">
          <cell r="A1066">
            <v>12</v>
          </cell>
          <cell r="B1066">
            <v>12431</v>
          </cell>
          <cell r="C1066">
            <v>1</v>
          </cell>
          <cell r="D1066">
            <v>4</v>
          </cell>
          <cell r="E1066">
            <v>-0.33307100000000001</v>
          </cell>
          <cell r="F1066">
            <v>-0.33384900000000001</v>
          </cell>
        </row>
        <row r="1067">
          <cell r="A1067">
            <v>12</v>
          </cell>
          <cell r="B1067">
            <v>12431</v>
          </cell>
          <cell r="C1067">
            <v>1</v>
          </cell>
          <cell r="D1067">
            <v>51</v>
          </cell>
          <cell r="E1067">
            <v>11.665267</v>
          </cell>
          <cell r="F1067">
            <v>34.021197000000001</v>
          </cell>
        </row>
        <row r="1068">
          <cell r="A1068">
            <v>12</v>
          </cell>
          <cell r="B1068">
            <v>12431</v>
          </cell>
          <cell r="C1068">
            <v>1</v>
          </cell>
          <cell r="D1068">
            <v>52</v>
          </cell>
          <cell r="E1068">
            <v>3.4891169999999998</v>
          </cell>
          <cell r="F1068">
            <v>12.044682999999999</v>
          </cell>
        </row>
        <row r="1069">
          <cell r="A1069">
            <v>12</v>
          </cell>
          <cell r="B1069">
            <v>12501</v>
          </cell>
          <cell r="C1069">
            <v>1</v>
          </cell>
          <cell r="D1069">
            <v>4</v>
          </cell>
          <cell r="E1069">
            <v>-7.9406720000000002</v>
          </cell>
          <cell r="F1069">
            <v>-8.1723040000000005</v>
          </cell>
        </row>
        <row r="1070">
          <cell r="A1070">
            <v>12</v>
          </cell>
          <cell r="B1070">
            <v>12501</v>
          </cell>
          <cell r="C1070">
            <v>1</v>
          </cell>
          <cell r="D1070">
            <v>51</v>
          </cell>
          <cell r="E1070">
            <v>59.554968000000002</v>
          </cell>
          <cell r="F1070">
            <v>154.52167399999999</v>
          </cell>
        </row>
        <row r="1071">
          <cell r="A1071">
            <v>12</v>
          </cell>
          <cell r="B1071">
            <v>12501</v>
          </cell>
          <cell r="C1071">
            <v>1</v>
          </cell>
          <cell r="D1071">
            <v>52</v>
          </cell>
          <cell r="E1071">
            <v>15.909569999999999</v>
          </cell>
          <cell r="F1071">
            <v>18.997306000000002</v>
          </cell>
        </row>
        <row r="1072">
          <cell r="A1072">
            <v>12</v>
          </cell>
          <cell r="B1072">
            <v>12811</v>
          </cell>
          <cell r="C1072">
            <v>1</v>
          </cell>
          <cell r="D1072">
            <v>591</v>
          </cell>
          <cell r="E1072">
            <v>43.3</v>
          </cell>
          <cell r="F1072">
            <v>130.30000000000001</v>
          </cell>
        </row>
        <row r="1073">
          <cell r="A1073">
            <v>14</v>
          </cell>
          <cell r="B1073">
            <v>14101</v>
          </cell>
          <cell r="C1073">
            <v>1</v>
          </cell>
          <cell r="D1073">
            <v>51</v>
          </cell>
          <cell r="E1073">
            <v>18.421243</v>
          </cell>
          <cell r="F1073">
            <v>55.959677999999997</v>
          </cell>
        </row>
        <row r="1074">
          <cell r="A1074">
            <v>14</v>
          </cell>
          <cell r="B1074">
            <v>14101</v>
          </cell>
          <cell r="C1074">
            <v>1</v>
          </cell>
          <cell r="D1074">
            <v>52</v>
          </cell>
          <cell r="E1074">
            <v>4.6673739999999997</v>
          </cell>
          <cell r="F1074">
            <v>20.885501000000001</v>
          </cell>
        </row>
        <row r="1075">
          <cell r="A1075">
            <v>14</v>
          </cell>
          <cell r="B1075">
            <v>14101</v>
          </cell>
          <cell r="C1075">
            <v>1</v>
          </cell>
          <cell r="D1075">
            <v>591</v>
          </cell>
          <cell r="E1075">
            <v>0</v>
          </cell>
          <cell r="F1075">
            <v>5.0000000000000001E-3</v>
          </cell>
        </row>
        <row r="1076">
          <cell r="A1076">
            <v>14</v>
          </cell>
          <cell r="B1076">
            <v>14190</v>
          </cell>
          <cell r="C1076">
            <v>1</v>
          </cell>
          <cell r="D1076">
            <v>51</v>
          </cell>
          <cell r="E1076">
            <v>3.141858</v>
          </cell>
          <cell r="F1076">
            <v>10.534166000000001</v>
          </cell>
        </row>
        <row r="1077">
          <cell r="A1077">
            <v>14</v>
          </cell>
          <cell r="B1077">
            <v>14190</v>
          </cell>
          <cell r="C1077">
            <v>1</v>
          </cell>
          <cell r="D1077">
            <v>52</v>
          </cell>
          <cell r="E1077">
            <v>0.64517999999999998</v>
          </cell>
          <cell r="F1077">
            <v>5.1818669999999996</v>
          </cell>
        </row>
        <row r="1078">
          <cell r="A1078">
            <v>14</v>
          </cell>
          <cell r="B1078">
            <v>14190</v>
          </cell>
          <cell r="C1078">
            <v>1</v>
          </cell>
          <cell r="D1078">
            <v>591</v>
          </cell>
          <cell r="E1078">
            <v>23.33</v>
          </cell>
          <cell r="F1078">
            <v>69.914779999999993</v>
          </cell>
        </row>
        <row r="1079">
          <cell r="A1079">
            <v>14</v>
          </cell>
          <cell r="B1079">
            <v>14202</v>
          </cell>
          <cell r="C1079">
            <v>1</v>
          </cell>
          <cell r="D1079">
            <v>51</v>
          </cell>
          <cell r="E1079">
            <v>1.5560069999999999</v>
          </cell>
          <cell r="F1079">
            <v>3.9313229999999999</v>
          </cell>
        </row>
        <row r="1080">
          <cell r="A1080">
            <v>14</v>
          </cell>
          <cell r="B1080">
            <v>14202</v>
          </cell>
          <cell r="C1080">
            <v>1</v>
          </cell>
          <cell r="D1080">
            <v>52</v>
          </cell>
          <cell r="E1080">
            <v>0.70077199999999995</v>
          </cell>
          <cell r="F1080">
            <v>0.92483899999999997</v>
          </cell>
        </row>
        <row r="1081">
          <cell r="A1081">
            <v>14</v>
          </cell>
          <cell r="B1081">
            <v>14211</v>
          </cell>
          <cell r="C1081">
            <v>1</v>
          </cell>
          <cell r="D1081">
            <v>4</v>
          </cell>
          <cell r="E1081">
            <v>-8.7542299999999997</v>
          </cell>
          <cell r="F1081">
            <v>-20.345776000000001</v>
          </cell>
        </row>
        <row r="1082">
          <cell r="A1082">
            <v>14</v>
          </cell>
          <cell r="B1082">
            <v>14211</v>
          </cell>
          <cell r="C1082">
            <v>1</v>
          </cell>
          <cell r="D1082">
            <v>51</v>
          </cell>
          <cell r="E1082">
            <v>34.065483</v>
          </cell>
          <cell r="F1082">
            <v>103.198594</v>
          </cell>
        </row>
        <row r="1083">
          <cell r="A1083">
            <v>14</v>
          </cell>
          <cell r="B1083">
            <v>14211</v>
          </cell>
          <cell r="C1083">
            <v>1</v>
          </cell>
          <cell r="D1083">
            <v>52</v>
          </cell>
          <cell r="E1083">
            <v>13.855765</v>
          </cell>
          <cell r="F1083">
            <v>47.161968000000002</v>
          </cell>
        </row>
        <row r="1084">
          <cell r="A1084">
            <v>14</v>
          </cell>
          <cell r="B1084">
            <v>14211</v>
          </cell>
          <cell r="C1084">
            <v>1</v>
          </cell>
          <cell r="D1084">
            <v>591</v>
          </cell>
          <cell r="E1084">
            <v>1.4999999999999999E-2</v>
          </cell>
          <cell r="F1084">
            <v>-3.0000000000000001E-3</v>
          </cell>
        </row>
        <row r="1085">
          <cell r="A1085">
            <v>14</v>
          </cell>
          <cell r="B1085">
            <v>14211</v>
          </cell>
          <cell r="C1085">
            <v>5</v>
          </cell>
          <cell r="D1085">
            <v>52</v>
          </cell>
          <cell r="E1085">
            <v>0</v>
          </cell>
          <cell r="F1085">
            <v>0.20027300000000001</v>
          </cell>
        </row>
        <row r="1086">
          <cell r="A1086">
            <v>14</v>
          </cell>
          <cell r="B1086">
            <v>14212</v>
          </cell>
          <cell r="C1086">
            <v>1</v>
          </cell>
          <cell r="D1086">
            <v>4</v>
          </cell>
          <cell r="E1086">
            <v>-0.35595700000000002</v>
          </cell>
          <cell r="F1086">
            <v>-0.57782</v>
          </cell>
        </row>
        <row r="1087">
          <cell r="A1087">
            <v>14</v>
          </cell>
          <cell r="B1087">
            <v>14212</v>
          </cell>
          <cell r="C1087">
            <v>1</v>
          </cell>
          <cell r="D1087">
            <v>51</v>
          </cell>
          <cell r="E1087">
            <v>4.843197</v>
          </cell>
          <cell r="F1087">
            <v>13.969709999999999</v>
          </cell>
        </row>
        <row r="1088">
          <cell r="A1088">
            <v>14</v>
          </cell>
          <cell r="B1088">
            <v>14212</v>
          </cell>
          <cell r="C1088">
            <v>1</v>
          </cell>
          <cell r="D1088">
            <v>52</v>
          </cell>
          <cell r="E1088">
            <v>3.942542</v>
          </cell>
          <cell r="F1088">
            <v>12.440051</v>
          </cell>
        </row>
        <row r="1089">
          <cell r="A1089">
            <v>14</v>
          </cell>
          <cell r="B1089">
            <v>14212</v>
          </cell>
          <cell r="C1089">
            <v>6</v>
          </cell>
          <cell r="D1089">
            <v>52</v>
          </cell>
          <cell r="E1089">
            <v>5.2454260000000001</v>
          </cell>
          <cell r="F1089">
            <v>12.399376</v>
          </cell>
        </row>
        <row r="1090">
          <cell r="A1090">
            <v>14</v>
          </cell>
          <cell r="B1090">
            <v>14231</v>
          </cell>
          <cell r="C1090">
            <v>1</v>
          </cell>
          <cell r="D1090">
            <v>4</v>
          </cell>
          <cell r="E1090">
            <v>-10.014884</v>
          </cell>
          <cell r="F1090">
            <v>-21.476305</v>
          </cell>
        </row>
        <row r="1091">
          <cell r="A1091">
            <v>14</v>
          </cell>
          <cell r="B1091">
            <v>14231</v>
          </cell>
          <cell r="C1091">
            <v>1</v>
          </cell>
          <cell r="D1091">
            <v>51</v>
          </cell>
          <cell r="E1091">
            <v>24.618207000000002</v>
          </cell>
          <cell r="F1091">
            <v>72.789113999999998</v>
          </cell>
        </row>
        <row r="1092">
          <cell r="A1092">
            <v>14</v>
          </cell>
          <cell r="B1092">
            <v>14231</v>
          </cell>
          <cell r="C1092">
            <v>1</v>
          </cell>
          <cell r="D1092">
            <v>52</v>
          </cell>
          <cell r="E1092">
            <v>9.3520130000000012</v>
          </cell>
          <cell r="F1092">
            <v>25.825346</v>
          </cell>
        </row>
        <row r="1093">
          <cell r="A1093">
            <v>14</v>
          </cell>
          <cell r="B1093">
            <v>14231</v>
          </cell>
          <cell r="C1093">
            <v>1</v>
          </cell>
          <cell r="D1093">
            <v>591</v>
          </cell>
          <cell r="E1093">
            <v>0.89749999999999996</v>
          </cell>
          <cell r="F1093">
            <v>1.2014</v>
          </cell>
        </row>
        <row r="1094">
          <cell r="A1094">
            <v>14</v>
          </cell>
          <cell r="B1094">
            <v>14231</v>
          </cell>
          <cell r="C1094">
            <v>5</v>
          </cell>
          <cell r="D1094">
            <v>52</v>
          </cell>
          <cell r="E1094">
            <v>4.8318E-2</v>
          </cell>
          <cell r="F1094">
            <v>0.71576300000000004</v>
          </cell>
        </row>
        <row r="1095">
          <cell r="A1095">
            <v>14</v>
          </cell>
          <cell r="B1095">
            <v>14231</v>
          </cell>
          <cell r="C1095">
            <v>6</v>
          </cell>
          <cell r="D1095">
            <v>52</v>
          </cell>
          <cell r="E1095">
            <v>0</v>
          </cell>
          <cell r="F1095">
            <v>0.57791400000000004</v>
          </cell>
        </row>
        <row r="1096">
          <cell r="A1096">
            <v>14</v>
          </cell>
          <cell r="B1096">
            <v>14241</v>
          </cell>
          <cell r="C1096">
            <v>1</v>
          </cell>
          <cell r="D1096">
            <v>4</v>
          </cell>
          <cell r="E1096">
            <v>-19.959226999999998</v>
          </cell>
          <cell r="F1096">
            <v>-61.467967999999999</v>
          </cell>
        </row>
        <row r="1097">
          <cell r="A1097">
            <v>14</v>
          </cell>
          <cell r="B1097">
            <v>14241</v>
          </cell>
          <cell r="C1097">
            <v>1</v>
          </cell>
          <cell r="D1097">
            <v>51</v>
          </cell>
          <cell r="E1097">
            <v>20.960486</v>
          </cell>
          <cell r="F1097">
            <v>61.237898000000001</v>
          </cell>
        </row>
        <row r="1098">
          <cell r="A1098">
            <v>14</v>
          </cell>
          <cell r="B1098">
            <v>14241</v>
          </cell>
          <cell r="C1098">
            <v>1</v>
          </cell>
          <cell r="D1098">
            <v>52</v>
          </cell>
          <cell r="E1098">
            <v>18.751811999999997</v>
          </cell>
          <cell r="F1098">
            <v>47.07161</v>
          </cell>
        </row>
        <row r="1099">
          <cell r="A1099">
            <v>14</v>
          </cell>
          <cell r="B1099">
            <v>14241</v>
          </cell>
          <cell r="C1099">
            <v>1</v>
          </cell>
          <cell r="D1099">
            <v>591</v>
          </cell>
          <cell r="E1099">
            <v>3.4799999999999998E-2</v>
          </cell>
          <cell r="F1099">
            <v>0.1898</v>
          </cell>
        </row>
        <row r="1100">
          <cell r="A1100">
            <v>14</v>
          </cell>
          <cell r="B1100">
            <v>14241</v>
          </cell>
          <cell r="C1100">
            <v>5</v>
          </cell>
          <cell r="D1100">
            <v>52</v>
          </cell>
          <cell r="E1100">
            <v>1.0542640000000001</v>
          </cell>
          <cell r="F1100">
            <v>2.439025</v>
          </cell>
        </row>
        <row r="1101">
          <cell r="A1101">
            <v>14</v>
          </cell>
          <cell r="B1101">
            <v>14243</v>
          </cell>
          <cell r="C1101">
            <v>1</v>
          </cell>
          <cell r="D1101">
            <v>51</v>
          </cell>
          <cell r="E1101">
            <v>0.77901200000000004</v>
          </cell>
          <cell r="F1101">
            <v>2.3370359999999999</v>
          </cell>
        </row>
        <row r="1102">
          <cell r="A1102">
            <v>14</v>
          </cell>
          <cell r="B1102">
            <v>14243</v>
          </cell>
          <cell r="C1102">
            <v>1</v>
          </cell>
          <cell r="D1102">
            <v>52</v>
          </cell>
          <cell r="E1102">
            <v>0.47334300000000001</v>
          </cell>
          <cell r="F1102">
            <v>0.94216500000000003</v>
          </cell>
        </row>
        <row r="1103">
          <cell r="A1103">
            <v>14</v>
          </cell>
          <cell r="B1103">
            <v>14287</v>
          </cell>
          <cell r="C1103">
            <v>1</v>
          </cell>
          <cell r="D1103">
            <v>51</v>
          </cell>
          <cell r="E1103">
            <v>3.6305299999999998</v>
          </cell>
          <cell r="F1103">
            <v>10.905353</v>
          </cell>
        </row>
        <row r="1104">
          <cell r="A1104">
            <v>14</v>
          </cell>
          <cell r="B1104">
            <v>14287</v>
          </cell>
          <cell r="C1104">
            <v>1</v>
          </cell>
          <cell r="D1104">
            <v>52</v>
          </cell>
          <cell r="E1104">
            <v>35.898482999999999</v>
          </cell>
          <cell r="F1104">
            <v>98.152282999999997</v>
          </cell>
        </row>
        <row r="1105">
          <cell r="A1105">
            <v>14</v>
          </cell>
          <cell r="B1105">
            <v>14289</v>
          </cell>
          <cell r="C1105">
            <v>1</v>
          </cell>
          <cell r="D1105">
            <v>591</v>
          </cell>
          <cell r="E1105">
            <v>224.04949300000001</v>
          </cell>
          <cell r="F1105">
            <v>268.01484900000003</v>
          </cell>
        </row>
        <row r="1106">
          <cell r="A1106">
            <v>14</v>
          </cell>
          <cell r="B1106">
            <v>14301</v>
          </cell>
          <cell r="C1106">
            <v>1</v>
          </cell>
          <cell r="D1106">
            <v>4</v>
          </cell>
          <cell r="E1106">
            <v>-0.17424999999999999</v>
          </cell>
          <cell r="F1106">
            <v>-2.1677200000000001</v>
          </cell>
        </row>
        <row r="1107">
          <cell r="A1107">
            <v>14</v>
          </cell>
          <cell r="B1107">
            <v>14301</v>
          </cell>
          <cell r="C1107">
            <v>1</v>
          </cell>
          <cell r="D1107">
            <v>51</v>
          </cell>
          <cell r="E1107">
            <v>11.218420999999999</v>
          </cell>
          <cell r="F1107">
            <v>33.968094000000001</v>
          </cell>
        </row>
        <row r="1108">
          <cell r="A1108">
            <v>14</v>
          </cell>
          <cell r="B1108">
            <v>14301</v>
          </cell>
          <cell r="C1108">
            <v>1</v>
          </cell>
          <cell r="D1108">
            <v>52</v>
          </cell>
          <cell r="E1108">
            <v>2.490971</v>
          </cell>
          <cell r="F1108">
            <v>9.1475500000000007</v>
          </cell>
        </row>
        <row r="1109">
          <cell r="A1109">
            <v>14</v>
          </cell>
          <cell r="B1109">
            <v>14310</v>
          </cell>
          <cell r="C1109">
            <v>1</v>
          </cell>
          <cell r="D1109">
            <v>4</v>
          </cell>
          <cell r="E1109">
            <v>-0.74417100000000003</v>
          </cell>
          <cell r="F1109">
            <v>-1.9372510000000001</v>
          </cell>
        </row>
        <row r="1110">
          <cell r="A1110">
            <v>14</v>
          </cell>
          <cell r="B1110">
            <v>14310</v>
          </cell>
          <cell r="C1110">
            <v>1</v>
          </cell>
          <cell r="D1110">
            <v>51</v>
          </cell>
          <cell r="E1110">
            <v>13.587329</v>
          </cell>
          <cell r="F1110">
            <v>40.409623000000003</v>
          </cell>
        </row>
        <row r="1111">
          <cell r="A1111">
            <v>14</v>
          </cell>
          <cell r="B1111">
            <v>14310</v>
          </cell>
          <cell r="C1111">
            <v>1</v>
          </cell>
          <cell r="D1111">
            <v>52</v>
          </cell>
          <cell r="E1111">
            <v>6.6444599999999996</v>
          </cell>
          <cell r="F1111">
            <v>19.994569000000002</v>
          </cell>
        </row>
        <row r="1112">
          <cell r="A1112">
            <v>14</v>
          </cell>
          <cell r="B1112">
            <v>14310</v>
          </cell>
          <cell r="C1112">
            <v>1</v>
          </cell>
          <cell r="D1112">
            <v>591</v>
          </cell>
          <cell r="E1112">
            <v>0.20943000000000001</v>
          </cell>
          <cell r="F1112">
            <v>-0.47287499999999999</v>
          </cell>
        </row>
        <row r="1113">
          <cell r="A1113">
            <v>14</v>
          </cell>
          <cell r="B1113">
            <v>14321</v>
          </cell>
          <cell r="C1113">
            <v>1</v>
          </cell>
          <cell r="D1113">
            <v>4</v>
          </cell>
          <cell r="E1113">
            <v>-6.2E-2</v>
          </cell>
          <cell r="F1113">
            <v>-0.1295</v>
          </cell>
        </row>
        <row r="1114">
          <cell r="A1114">
            <v>14</v>
          </cell>
          <cell r="B1114">
            <v>14321</v>
          </cell>
          <cell r="C1114">
            <v>1</v>
          </cell>
          <cell r="D1114">
            <v>51</v>
          </cell>
          <cell r="E1114">
            <v>11.84625</v>
          </cell>
          <cell r="F1114">
            <v>33.297998</v>
          </cell>
        </row>
        <row r="1115">
          <cell r="A1115">
            <v>14</v>
          </cell>
          <cell r="B1115">
            <v>14321</v>
          </cell>
          <cell r="C1115">
            <v>1</v>
          </cell>
          <cell r="D1115">
            <v>52</v>
          </cell>
          <cell r="E1115">
            <v>13.577363</v>
          </cell>
          <cell r="F1115">
            <v>35.495519999999999</v>
          </cell>
        </row>
        <row r="1116">
          <cell r="A1116">
            <v>14</v>
          </cell>
          <cell r="B1116">
            <v>14321</v>
          </cell>
          <cell r="C1116">
            <v>1</v>
          </cell>
          <cell r="D1116">
            <v>591</v>
          </cell>
          <cell r="E1116">
            <v>0</v>
          </cell>
          <cell r="F1116">
            <v>1.8675000000000001E-2</v>
          </cell>
        </row>
        <row r="1117">
          <cell r="A1117">
            <v>14</v>
          </cell>
          <cell r="B1117">
            <v>14381</v>
          </cell>
          <cell r="C1117">
            <v>1</v>
          </cell>
          <cell r="D1117">
            <v>4</v>
          </cell>
          <cell r="E1117">
            <v>0</v>
          </cell>
          <cell r="F1117">
            <v>-0.94865600000000005</v>
          </cell>
        </row>
        <row r="1118">
          <cell r="A1118">
            <v>14</v>
          </cell>
          <cell r="B1118">
            <v>14381</v>
          </cell>
          <cell r="C1118">
            <v>1</v>
          </cell>
          <cell r="D1118">
            <v>51</v>
          </cell>
          <cell r="E1118">
            <v>0.120585</v>
          </cell>
          <cell r="F1118">
            <v>0.36175499999999999</v>
          </cell>
        </row>
        <row r="1119">
          <cell r="A1119">
            <v>14</v>
          </cell>
          <cell r="B1119">
            <v>14381</v>
          </cell>
          <cell r="C1119">
            <v>1</v>
          </cell>
          <cell r="D1119">
            <v>52</v>
          </cell>
          <cell r="E1119">
            <v>0</v>
          </cell>
          <cell r="F1119">
            <v>6.5799999999999999E-3</v>
          </cell>
        </row>
        <row r="1120">
          <cell r="A1120">
            <v>14</v>
          </cell>
          <cell r="B1120">
            <v>14381</v>
          </cell>
          <cell r="C1120">
            <v>6</v>
          </cell>
          <cell r="D1120">
            <v>4</v>
          </cell>
          <cell r="E1120">
            <v>-9.7700429999999994</v>
          </cell>
          <cell r="F1120">
            <v>-11.425041</v>
          </cell>
        </row>
        <row r="1121">
          <cell r="A1121">
            <v>14</v>
          </cell>
          <cell r="B1121">
            <v>14381</v>
          </cell>
          <cell r="C1121">
            <v>6</v>
          </cell>
          <cell r="D1121">
            <v>52</v>
          </cell>
          <cell r="E1121">
            <v>3.4834999999999998E-2</v>
          </cell>
          <cell r="F1121">
            <v>0.14283100000000001</v>
          </cell>
        </row>
        <row r="1122">
          <cell r="A1122">
            <v>14</v>
          </cell>
          <cell r="B1122">
            <v>14381</v>
          </cell>
          <cell r="C1122">
            <v>6</v>
          </cell>
          <cell r="D1122">
            <v>591</v>
          </cell>
          <cell r="E1122">
            <v>0.49717600000000001</v>
          </cell>
          <cell r="F1122">
            <v>64.465434000000002</v>
          </cell>
        </row>
        <row r="1123">
          <cell r="A1123">
            <v>14</v>
          </cell>
          <cell r="B1123">
            <v>14401</v>
          </cell>
          <cell r="C1123">
            <v>1</v>
          </cell>
          <cell r="D1123">
            <v>4</v>
          </cell>
          <cell r="E1123">
            <v>-10.659655000000001</v>
          </cell>
          <cell r="F1123">
            <v>-16.678184000000002</v>
          </cell>
        </row>
        <row r="1124">
          <cell r="A1124">
            <v>14</v>
          </cell>
          <cell r="B1124">
            <v>14401</v>
          </cell>
          <cell r="C1124">
            <v>1</v>
          </cell>
          <cell r="D1124">
            <v>51</v>
          </cell>
          <cell r="E1124">
            <v>20.370953</v>
          </cell>
          <cell r="F1124">
            <v>61.808481</v>
          </cell>
        </row>
        <row r="1125">
          <cell r="A1125">
            <v>14</v>
          </cell>
          <cell r="B1125">
            <v>14401</v>
          </cell>
          <cell r="C1125">
            <v>1</v>
          </cell>
          <cell r="D1125">
            <v>52</v>
          </cell>
          <cell r="E1125">
            <v>11.501810000000001</v>
          </cell>
          <cell r="F1125">
            <v>35.841695999999999</v>
          </cell>
        </row>
        <row r="1126">
          <cell r="A1126">
            <v>14</v>
          </cell>
          <cell r="B1126">
            <v>14401</v>
          </cell>
          <cell r="C1126">
            <v>1</v>
          </cell>
          <cell r="D1126">
            <v>591</v>
          </cell>
          <cell r="E1126">
            <v>0.01</v>
          </cell>
          <cell r="F1126">
            <v>0.46500000000000002</v>
          </cell>
        </row>
        <row r="1127">
          <cell r="A1127">
            <v>14</v>
          </cell>
          <cell r="B1127">
            <v>14403</v>
          </cell>
          <cell r="C1127">
            <v>1</v>
          </cell>
          <cell r="D1127">
            <v>591</v>
          </cell>
          <cell r="E1127">
            <v>10.634</v>
          </cell>
          <cell r="F1127">
            <v>31.902000000000001</v>
          </cell>
        </row>
        <row r="1128">
          <cell r="A1128">
            <v>14</v>
          </cell>
          <cell r="B1128">
            <v>14407</v>
          </cell>
          <cell r="C1128">
            <v>1</v>
          </cell>
          <cell r="D1128">
            <v>4</v>
          </cell>
          <cell r="E1128">
            <v>-3.6106739999999999</v>
          </cell>
          <cell r="F1128">
            <v>-9.4380070000000007</v>
          </cell>
        </row>
        <row r="1129">
          <cell r="A1129">
            <v>14</v>
          </cell>
          <cell r="B1129">
            <v>14407</v>
          </cell>
          <cell r="C1129">
            <v>1</v>
          </cell>
          <cell r="D1129">
            <v>51</v>
          </cell>
          <cell r="E1129">
            <v>3.0888559999999998</v>
          </cell>
          <cell r="F1129">
            <v>8.5365070000000003</v>
          </cell>
        </row>
        <row r="1130">
          <cell r="A1130">
            <v>14</v>
          </cell>
          <cell r="B1130">
            <v>14407</v>
          </cell>
          <cell r="C1130">
            <v>1</v>
          </cell>
          <cell r="D1130">
            <v>52</v>
          </cell>
          <cell r="E1130">
            <v>1.0090239999999999</v>
          </cell>
          <cell r="F1130">
            <v>3.3583419999999999</v>
          </cell>
        </row>
        <row r="1131">
          <cell r="A1131">
            <v>14</v>
          </cell>
          <cell r="B1131">
            <v>14407</v>
          </cell>
          <cell r="C1131">
            <v>1</v>
          </cell>
          <cell r="D1131">
            <v>591</v>
          </cell>
          <cell r="E1131">
            <v>0</v>
          </cell>
          <cell r="F1131">
            <v>0.30149999999999999</v>
          </cell>
        </row>
        <row r="1132">
          <cell r="A1132">
            <v>14</v>
          </cell>
          <cell r="B1132">
            <v>14412</v>
          </cell>
          <cell r="C1132">
            <v>1</v>
          </cell>
          <cell r="D1132">
            <v>4</v>
          </cell>
          <cell r="E1132">
            <v>-5.301717</v>
          </cell>
          <cell r="F1132">
            <v>-113.183761</v>
          </cell>
        </row>
        <row r="1133">
          <cell r="A1133">
            <v>14</v>
          </cell>
          <cell r="B1133">
            <v>14412</v>
          </cell>
          <cell r="C1133">
            <v>1</v>
          </cell>
          <cell r="D1133">
            <v>51</v>
          </cell>
          <cell r="E1133">
            <v>70.265483000000003</v>
          </cell>
          <cell r="F1133">
            <v>206.007622</v>
          </cell>
        </row>
        <row r="1134">
          <cell r="A1134">
            <v>14</v>
          </cell>
          <cell r="B1134">
            <v>14412</v>
          </cell>
          <cell r="C1134">
            <v>1</v>
          </cell>
          <cell r="D1134">
            <v>52</v>
          </cell>
          <cell r="E1134">
            <v>24.244787000000002</v>
          </cell>
          <cell r="F1134">
            <v>119.09119799999999</v>
          </cell>
        </row>
        <row r="1135">
          <cell r="A1135">
            <v>14</v>
          </cell>
          <cell r="B1135">
            <v>14412</v>
          </cell>
          <cell r="C1135">
            <v>1</v>
          </cell>
          <cell r="D1135">
            <v>591</v>
          </cell>
          <cell r="E1135">
            <v>0.02</v>
          </cell>
          <cell r="F1135">
            <v>0.02</v>
          </cell>
        </row>
        <row r="1136">
          <cell r="A1136">
            <v>19</v>
          </cell>
          <cell r="B1136">
            <v>19801</v>
          </cell>
          <cell r="C1136">
            <v>1</v>
          </cell>
          <cell r="D1136">
            <v>52</v>
          </cell>
          <cell r="E1136">
            <v>8140.9207189999997</v>
          </cell>
          <cell r="F1136">
            <v>22155.133948999999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fred.stlouisfed.org/series/TURGFCFQDSMEI" TargetMode="External"/><Relationship Id="rId3" Type="http://schemas.openxmlformats.org/officeDocument/2006/relationships/hyperlink" Target="https://fred.stlouisfed.org/series/IGDXEDTRM086NEST" TargetMode="External"/><Relationship Id="rId7" Type="http://schemas.openxmlformats.org/officeDocument/2006/relationships/hyperlink" Target="https://fred.stlouisfed.org/series/TURGFCEQDSMEI" TargetMode="External"/><Relationship Id="rId2" Type="http://schemas.openxmlformats.org/officeDocument/2006/relationships/hyperlink" Target="https://fred.stlouisfed.org/series/TURPFCEQDSMEI" TargetMode="External"/><Relationship Id="rId1" Type="http://schemas.openxmlformats.org/officeDocument/2006/relationships/hyperlink" Target="https://fred.stlouisfed.org/series/NGDPRSAXDCTRQ" TargetMode="External"/><Relationship Id="rId6" Type="http://schemas.openxmlformats.org/officeDocument/2006/relationships/hyperlink" Target="https://fred.stlouisfed.org/series/TURPITGND02GPM" TargetMode="External"/><Relationship Id="rId11" Type="http://schemas.openxmlformats.org/officeDocument/2006/relationships/hyperlink" Target="https://evds2.tcmb.gov.tr/index.php?/evds/serieMarket/collapse_15/5963/DataGroup/turkish/bie_cdur2/" TargetMode="External"/><Relationship Id="rId5" Type="http://schemas.openxmlformats.org/officeDocument/2006/relationships/hyperlink" Target="https://fred.stlouisfed.org/series/IGDXEDTRM086NEST" TargetMode="External"/><Relationship Id="rId10" Type="http://schemas.openxmlformats.org/officeDocument/2006/relationships/hyperlink" Target="https://fred.stlouisfed.org/series/TURIMPORTQDSMEI" TargetMode="External"/><Relationship Id="rId4" Type="http://schemas.openxmlformats.org/officeDocument/2006/relationships/hyperlink" Target="https://fred.stlouisfed.org/series/NAEXKP02TRQ189S" TargetMode="External"/><Relationship Id="rId9" Type="http://schemas.openxmlformats.org/officeDocument/2006/relationships/hyperlink" Target="https://tradingeconomics.com/turkey/gross-fixed-capital-formation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3"/>
  </sheetPr>
  <dimension ref="A1:CI113"/>
  <sheetViews>
    <sheetView showGridLines="0" zoomScale="75" zoomScaleNormal="75" workbookViewId="0">
      <pane xSplit="1" ySplit="8" topLeftCell="B104" activePane="bottomRight" state="frozen"/>
      <selection pane="topRight" activeCell="B1" sqref="B1"/>
      <selection pane="bottomLeft" activeCell="A11" sqref="A11"/>
      <selection pane="bottomRight" activeCell="M29" sqref="M29:M103"/>
    </sheetView>
  </sheetViews>
  <sheetFormatPr defaultColWidth="9.109375" defaultRowHeight="15.75" customHeight="1"/>
  <cols>
    <col min="1" max="1" width="16.109375" style="40" customWidth="1"/>
    <col min="2" max="2" width="21.109375" style="97" customWidth="1"/>
    <col min="3" max="3" width="7.44140625" style="97" customWidth="1"/>
    <col min="4" max="4" width="23.21875" style="40" customWidth="1"/>
    <col min="5" max="6" width="23.77734375" style="40" customWidth="1"/>
    <col min="7" max="7" width="24.109375" style="40" bestFit="1" customWidth="1"/>
    <col min="8" max="9" width="22" style="40" customWidth="1"/>
    <col min="10" max="10" width="5.77734375" style="40" customWidth="1"/>
    <col min="11" max="11" width="30" style="40" customWidth="1"/>
    <col min="12" max="12" width="5.44140625" style="40" customWidth="1"/>
    <col min="13" max="13" width="26.21875" style="40" customWidth="1"/>
    <col min="14" max="14" width="21.88671875" style="40" customWidth="1"/>
    <col min="15" max="15" width="23.44140625" style="40" customWidth="1"/>
    <col min="16" max="16" width="18.21875" style="40" customWidth="1"/>
    <col min="17" max="17" width="20.21875" style="40" customWidth="1"/>
    <col min="18" max="18" width="22.88671875" style="40" customWidth="1"/>
    <col min="19" max="19" width="19.88671875" style="40" customWidth="1"/>
    <col min="20" max="20" width="5.44140625" style="40" customWidth="1"/>
    <col min="21" max="21" width="24.21875" style="40" customWidth="1"/>
    <col min="22" max="22" width="5.77734375" style="40" customWidth="1"/>
    <col min="23" max="24" width="23.21875" style="40" customWidth="1"/>
    <col min="25" max="25" width="16.44140625" style="40" customWidth="1"/>
    <col min="26" max="26" width="17.109375" style="40" customWidth="1"/>
    <col min="27" max="27" width="17.109375" style="89" customWidth="1"/>
    <col min="28" max="28" width="19.44140625" style="40" customWidth="1"/>
    <col min="29" max="16384" width="9.109375" style="40"/>
  </cols>
  <sheetData>
    <row r="1" spans="1:52" ht="30.3" customHeight="1">
      <c r="A1" s="37"/>
      <c r="B1" s="38" t="s">
        <v>157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7"/>
      <c r="R1" s="39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</row>
    <row r="2" spans="1:52" ht="25.2" customHeight="1" thickBot="1">
      <c r="A2" s="41"/>
      <c r="B2" s="42" t="s">
        <v>158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1"/>
      <c r="R2" s="43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</row>
    <row r="3" spans="1:52" s="47" customFormat="1" ht="22.65" customHeight="1">
      <c r="A3" s="44"/>
      <c r="B3" s="207" t="s">
        <v>162</v>
      </c>
      <c r="C3" s="207"/>
      <c r="D3" s="207"/>
      <c r="E3" s="45"/>
      <c r="F3" s="45"/>
      <c r="G3" s="45"/>
      <c r="H3" s="45"/>
      <c r="I3" s="45"/>
      <c r="J3" s="45"/>
      <c r="K3" s="45"/>
      <c r="L3" s="208"/>
      <c r="M3" s="208"/>
      <c r="N3" s="208"/>
      <c r="O3" s="208"/>
      <c r="P3" s="208"/>
      <c r="Q3" s="208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</row>
    <row r="4" spans="1:52" s="47" customFormat="1" ht="13.2">
      <c r="A4" s="48"/>
      <c r="B4" s="49"/>
      <c r="C4" s="49"/>
    </row>
    <row r="5" spans="1:52" s="47" customFormat="1" ht="13.2">
      <c r="A5" s="50"/>
      <c r="B5" s="49"/>
      <c r="C5" s="49"/>
    </row>
    <row r="6" spans="1:52" s="51" customFormat="1" ht="14.4" thickBot="1">
      <c r="B6" s="99" t="s">
        <v>129</v>
      </c>
      <c r="C6" s="100"/>
      <c r="D6" s="99" t="s">
        <v>243</v>
      </c>
      <c r="E6" s="52"/>
      <c r="F6" s="52"/>
      <c r="G6" s="52"/>
      <c r="H6" s="52"/>
      <c r="I6" s="52"/>
      <c r="J6" s="52"/>
      <c r="K6" s="52"/>
      <c r="L6" s="52"/>
      <c r="M6" s="111" t="s">
        <v>130</v>
      </c>
      <c r="Q6" s="54" t="s">
        <v>131</v>
      </c>
      <c r="Y6" s="55" t="s">
        <v>132</v>
      </c>
    </row>
    <row r="7" spans="1:52" s="47" customFormat="1" ht="47.55" customHeight="1" thickBot="1">
      <c r="A7" s="56"/>
      <c r="B7" s="57"/>
      <c r="C7" s="57"/>
      <c r="D7" s="209" t="s">
        <v>170</v>
      </c>
      <c r="E7" s="209"/>
      <c r="F7" s="209"/>
      <c r="G7" s="209"/>
      <c r="H7" s="209"/>
      <c r="I7" s="58"/>
      <c r="J7" s="57"/>
      <c r="K7" s="58" t="s">
        <v>171</v>
      </c>
      <c r="L7" s="57"/>
      <c r="M7" s="57" t="s">
        <v>172</v>
      </c>
      <c r="N7" s="209" t="s">
        <v>176</v>
      </c>
      <c r="O7" s="209"/>
      <c r="P7" s="209"/>
      <c r="Q7" s="209" t="s">
        <v>179</v>
      </c>
      <c r="R7" s="209"/>
      <c r="S7" s="209"/>
      <c r="T7" s="57"/>
      <c r="U7" s="58" t="s">
        <v>186</v>
      </c>
      <c r="V7" s="57"/>
      <c r="W7" s="209" t="s">
        <v>188</v>
      </c>
      <c r="X7" s="209"/>
      <c r="Y7" s="210"/>
      <c r="AA7" s="59"/>
    </row>
    <row r="8" spans="1:52" s="68" customFormat="1" ht="84.3" customHeight="1" thickBot="1">
      <c r="A8" s="60"/>
      <c r="B8" s="61" t="s">
        <v>163</v>
      </c>
      <c r="C8" s="62"/>
      <c r="D8" s="63" t="s">
        <v>273</v>
      </c>
      <c r="E8" s="61" t="s">
        <v>268</v>
      </c>
      <c r="F8" s="61" t="s">
        <v>269</v>
      </c>
      <c r="G8" s="61" t="s">
        <v>270</v>
      </c>
      <c r="H8" s="61" t="s">
        <v>271</v>
      </c>
      <c r="I8" s="61" t="s">
        <v>272</v>
      </c>
      <c r="J8" s="61"/>
      <c r="K8" s="64" t="s">
        <v>274</v>
      </c>
      <c r="L8" s="61"/>
      <c r="M8" s="61" t="s">
        <v>275</v>
      </c>
      <c r="N8" s="61" t="s">
        <v>174</v>
      </c>
      <c r="O8" s="61" t="s">
        <v>177</v>
      </c>
      <c r="P8" s="61" t="s">
        <v>178</v>
      </c>
      <c r="Q8" s="63" t="s">
        <v>180</v>
      </c>
      <c r="R8" s="61" t="s">
        <v>182</v>
      </c>
      <c r="S8" s="61" t="s">
        <v>184</v>
      </c>
      <c r="T8" s="61"/>
      <c r="U8" s="61" t="s">
        <v>187</v>
      </c>
      <c r="V8" s="61"/>
      <c r="W8" s="61" t="s">
        <v>189</v>
      </c>
      <c r="X8" s="61" t="s">
        <v>191</v>
      </c>
      <c r="Y8" s="65" t="s">
        <v>193</v>
      </c>
      <c r="Z8" s="66"/>
      <c r="AA8" s="67"/>
    </row>
    <row r="9" spans="1:52" ht="15.75" customHeight="1">
      <c r="A9" s="40" t="s">
        <v>0</v>
      </c>
      <c r="B9" s="69"/>
      <c r="C9" s="70"/>
      <c r="D9" s="71"/>
      <c r="E9" s="72"/>
      <c r="F9" s="72"/>
      <c r="G9" s="72"/>
      <c r="H9" s="73"/>
      <c r="I9" s="72"/>
      <c r="J9" s="74"/>
      <c r="K9" s="75"/>
      <c r="L9" s="74"/>
      <c r="M9" s="76"/>
      <c r="N9" s="188"/>
      <c r="O9" s="118"/>
      <c r="P9" s="121"/>
      <c r="Q9" s="78"/>
      <c r="R9" s="77"/>
      <c r="S9" s="79"/>
      <c r="T9" s="74"/>
      <c r="U9" s="80">
        <v>23.293624999999999</v>
      </c>
      <c r="V9" s="74"/>
      <c r="W9" s="81"/>
      <c r="X9" s="77"/>
      <c r="Y9" s="82">
        <f>W9-X9</f>
        <v>0</v>
      </c>
      <c r="Z9" s="83"/>
      <c r="AA9" s="84"/>
    </row>
    <row r="10" spans="1:52" ht="15.75" customHeight="1">
      <c r="A10" s="40" t="s">
        <v>1</v>
      </c>
      <c r="B10" s="85"/>
      <c r="C10" s="70"/>
      <c r="D10" s="71"/>
      <c r="E10" s="72"/>
      <c r="F10" s="72"/>
      <c r="G10" s="72"/>
      <c r="H10" s="72"/>
      <c r="I10" s="72"/>
      <c r="J10" s="74"/>
      <c r="K10" s="75"/>
      <c r="L10" s="74"/>
      <c r="M10" s="86"/>
      <c r="N10" s="81"/>
      <c r="O10" s="77"/>
      <c r="P10" s="79"/>
      <c r="Q10" s="78"/>
      <c r="R10" s="77"/>
      <c r="S10" s="79"/>
      <c r="T10" s="74"/>
      <c r="U10" s="80">
        <v>29.357174999999998</v>
      </c>
      <c r="V10" s="74"/>
      <c r="W10" s="81"/>
      <c r="X10" s="77"/>
      <c r="Y10" s="87">
        <f t="shared" ref="Y10:Y21" si="0">W10-X10</f>
        <v>0</v>
      </c>
      <c r="Z10" s="83"/>
      <c r="AA10" s="84"/>
    </row>
    <row r="11" spans="1:52" ht="15.75" customHeight="1">
      <c r="A11" s="40" t="s">
        <v>2</v>
      </c>
      <c r="B11" s="85"/>
      <c r="C11" s="70"/>
      <c r="D11" s="71"/>
      <c r="E11" s="72"/>
      <c r="F11" s="72"/>
      <c r="G11" s="72"/>
      <c r="H11" s="72"/>
      <c r="I11" s="72"/>
      <c r="J11" s="74"/>
      <c r="K11" s="75"/>
      <c r="L11" s="74"/>
      <c r="M11" s="86"/>
      <c r="N11" s="81"/>
      <c r="O11" s="77"/>
      <c r="P11" s="79"/>
      <c r="Q11" s="78"/>
      <c r="R11" s="77"/>
      <c r="S11" s="79"/>
      <c r="T11" s="74"/>
      <c r="U11" s="80">
        <v>18.210875000000001</v>
      </c>
      <c r="V11" s="74"/>
      <c r="W11" s="81"/>
      <c r="X11" s="77"/>
      <c r="Y11" s="87">
        <f t="shared" si="0"/>
        <v>0</v>
      </c>
      <c r="Z11" s="83"/>
      <c r="AA11" s="84"/>
    </row>
    <row r="12" spans="1:52" ht="15.75" customHeight="1">
      <c r="A12" s="40" t="s">
        <v>3</v>
      </c>
      <c r="B12" s="85"/>
      <c r="C12" s="70"/>
      <c r="D12" s="71"/>
      <c r="E12" s="72"/>
      <c r="F12" s="72"/>
      <c r="G12" s="72"/>
      <c r="H12" s="72"/>
      <c r="I12" s="72"/>
      <c r="J12" s="74"/>
      <c r="K12" s="75"/>
      <c r="L12" s="74"/>
      <c r="M12" s="86"/>
      <c r="N12" s="81"/>
      <c r="O12" s="77"/>
      <c r="P12" s="79"/>
      <c r="Q12" s="78"/>
      <c r="R12" s="77"/>
      <c r="S12" s="79"/>
      <c r="T12" s="74"/>
      <c r="U12" s="80">
        <v>9.5900999999999996</v>
      </c>
      <c r="V12" s="74"/>
      <c r="W12" s="81"/>
      <c r="X12" s="77"/>
      <c r="Y12" s="87">
        <f t="shared" si="0"/>
        <v>0</v>
      </c>
      <c r="Z12" s="83"/>
      <c r="AA12" s="84"/>
    </row>
    <row r="13" spans="1:52" ht="15.75" customHeight="1">
      <c r="A13" s="40" t="s">
        <v>4</v>
      </c>
      <c r="B13" s="85"/>
      <c r="C13" s="70"/>
      <c r="D13" s="71"/>
      <c r="E13" s="72"/>
      <c r="F13" s="72"/>
      <c r="G13" s="72"/>
      <c r="H13" s="72"/>
      <c r="I13" s="72"/>
      <c r="J13" s="74"/>
      <c r="K13" s="75"/>
      <c r="L13" s="74"/>
      <c r="M13" s="86"/>
      <c r="N13" s="81"/>
      <c r="O13" s="77"/>
      <c r="P13" s="79"/>
      <c r="Q13" s="78"/>
      <c r="R13" s="77"/>
      <c r="S13" s="79"/>
      <c r="T13" s="74"/>
      <c r="U13" s="80">
        <v>15.654624999999999</v>
      </c>
      <c r="V13" s="74"/>
      <c r="W13" s="81"/>
      <c r="X13" s="77"/>
      <c r="Y13" s="87">
        <f t="shared" si="0"/>
        <v>0</v>
      </c>
      <c r="Z13" s="83"/>
      <c r="AA13" s="84"/>
    </row>
    <row r="14" spans="1:52" ht="15.75" customHeight="1">
      <c r="A14" s="40" t="s">
        <v>5</v>
      </c>
      <c r="B14" s="85"/>
      <c r="C14" s="70"/>
      <c r="D14" s="71"/>
      <c r="E14" s="72"/>
      <c r="F14" s="72"/>
      <c r="G14" s="72"/>
      <c r="H14" s="72"/>
      <c r="I14" s="72"/>
      <c r="J14" s="74"/>
      <c r="K14" s="75"/>
      <c r="L14" s="74"/>
      <c r="M14" s="86"/>
      <c r="N14" s="81"/>
      <c r="O14" s="77"/>
      <c r="P14" s="79"/>
      <c r="Q14" s="78"/>
      <c r="R14" s="77"/>
      <c r="S14" s="79"/>
      <c r="T14" s="74"/>
      <c r="U14" s="80">
        <v>39.951925000000003</v>
      </c>
      <c r="V14" s="74"/>
      <c r="W14" s="81"/>
      <c r="X14" s="77"/>
      <c r="Y14" s="87">
        <f t="shared" si="0"/>
        <v>0</v>
      </c>
      <c r="Z14" s="83"/>
      <c r="AA14" s="84"/>
    </row>
    <row r="15" spans="1:52" ht="15.75" customHeight="1">
      <c r="A15" s="40" t="s">
        <v>6</v>
      </c>
      <c r="B15" s="85"/>
      <c r="C15" s="70"/>
      <c r="D15" s="71"/>
      <c r="E15" s="72"/>
      <c r="F15" s="72"/>
      <c r="G15" s="72"/>
      <c r="H15" s="72"/>
      <c r="I15" s="72"/>
      <c r="J15" s="74"/>
      <c r="K15" s="75"/>
      <c r="L15" s="74"/>
      <c r="M15" s="86"/>
      <c r="N15" s="81"/>
      <c r="O15" s="77"/>
      <c r="P15" s="79"/>
      <c r="Q15" s="78"/>
      <c r="R15" s="77"/>
      <c r="S15" s="79"/>
      <c r="T15" s="74"/>
      <c r="U15" s="80">
        <v>19.97175</v>
      </c>
      <c r="V15" s="74"/>
      <c r="W15" s="81"/>
      <c r="X15" s="77"/>
      <c r="Y15" s="87">
        <f t="shared" si="0"/>
        <v>0</v>
      </c>
      <c r="Z15" s="83"/>
      <c r="AA15" s="84"/>
    </row>
    <row r="16" spans="1:52" ht="15.75" customHeight="1">
      <c r="A16" s="40" t="s">
        <v>7</v>
      </c>
      <c r="B16" s="85"/>
      <c r="C16" s="70"/>
      <c r="D16" s="71"/>
      <c r="E16" s="72"/>
      <c r="F16" s="72"/>
      <c r="G16" s="72"/>
      <c r="H16" s="72"/>
      <c r="I16" s="72"/>
      <c r="J16" s="74"/>
      <c r="K16" s="75"/>
      <c r="L16" s="74"/>
      <c r="M16" s="86"/>
      <c r="N16" s="81"/>
      <c r="O16" s="77"/>
      <c r="P16" s="79"/>
      <c r="Q16" s="78"/>
      <c r="R16" s="77"/>
      <c r="S16" s="79"/>
      <c r="T16" s="74"/>
      <c r="U16" s="80">
        <v>24.088725</v>
      </c>
      <c r="V16" s="74"/>
      <c r="W16" s="81"/>
      <c r="X16" s="77"/>
      <c r="Y16" s="87">
        <f t="shared" si="0"/>
        <v>0</v>
      </c>
      <c r="Z16" s="83"/>
      <c r="AA16" s="84"/>
    </row>
    <row r="17" spans="1:87" ht="15.75" customHeight="1">
      <c r="A17" s="40" t="s">
        <v>8</v>
      </c>
      <c r="B17" s="85"/>
      <c r="C17" s="70"/>
      <c r="D17" s="71"/>
      <c r="E17" s="72"/>
      <c r="F17" s="72"/>
      <c r="G17" s="72"/>
      <c r="H17" s="72"/>
      <c r="I17" s="72"/>
      <c r="J17" s="74"/>
      <c r="K17" s="75"/>
      <c r="L17" s="74"/>
      <c r="M17" s="86"/>
      <c r="N17" s="81"/>
      <c r="O17" s="77"/>
      <c r="P17" s="79"/>
      <c r="Q17" s="78"/>
      <c r="R17" s="77"/>
      <c r="S17" s="79"/>
      <c r="T17" s="74"/>
      <c r="U17" s="80">
        <v>26.944575</v>
      </c>
      <c r="V17" s="74"/>
      <c r="W17" s="81"/>
      <c r="X17" s="77"/>
      <c r="Y17" s="87">
        <f t="shared" si="0"/>
        <v>0</v>
      </c>
      <c r="Z17" s="83"/>
      <c r="AA17" s="84"/>
    </row>
    <row r="18" spans="1:87" ht="15.75" customHeight="1">
      <c r="A18" s="40" t="s">
        <v>9</v>
      </c>
      <c r="B18" s="85"/>
      <c r="C18" s="70"/>
      <c r="D18" s="71"/>
      <c r="E18" s="72"/>
      <c r="F18" s="72"/>
      <c r="G18" s="72"/>
      <c r="H18" s="72"/>
      <c r="I18" s="72"/>
      <c r="J18" s="74"/>
      <c r="K18" s="75"/>
      <c r="L18" s="74"/>
      <c r="M18" s="86"/>
      <c r="N18" s="81"/>
      <c r="O18" s="77"/>
      <c r="P18" s="79"/>
      <c r="Q18" s="78"/>
      <c r="R18" s="77"/>
      <c r="S18" s="79"/>
      <c r="T18" s="74"/>
      <c r="U18" s="80">
        <v>26.403175000000001</v>
      </c>
      <c r="V18" s="74"/>
      <c r="W18" s="81"/>
      <c r="X18" s="77"/>
      <c r="Y18" s="87">
        <f t="shared" si="0"/>
        <v>0</v>
      </c>
      <c r="Z18" s="83"/>
      <c r="AA18" s="84"/>
    </row>
    <row r="19" spans="1:87" ht="15.75" customHeight="1">
      <c r="A19" s="40" t="s">
        <v>10</v>
      </c>
      <c r="B19" s="85"/>
      <c r="C19" s="70"/>
      <c r="D19" s="71"/>
      <c r="E19" s="72"/>
      <c r="F19" s="72"/>
      <c r="G19" s="72"/>
      <c r="H19" s="72"/>
      <c r="I19" s="72"/>
      <c r="J19" s="74"/>
      <c r="K19" s="75"/>
      <c r="L19" s="74"/>
      <c r="M19" s="86"/>
      <c r="N19" s="81"/>
      <c r="O19" s="77"/>
      <c r="P19" s="79"/>
      <c r="Q19" s="78"/>
      <c r="R19" s="77"/>
      <c r="S19" s="79"/>
      <c r="T19" s="74"/>
      <c r="U19" s="80">
        <v>35.619800000000005</v>
      </c>
      <c r="V19" s="74"/>
      <c r="W19" s="81"/>
      <c r="X19" s="77"/>
      <c r="Y19" s="87">
        <f t="shared" si="0"/>
        <v>0</v>
      </c>
      <c r="Z19" s="83"/>
      <c r="AA19" s="84"/>
    </row>
    <row r="20" spans="1:87" ht="15.75" customHeight="1">
      <c r="A20" s="40" t="s">
        <v>11</v>
      </c>
      <c r="B20" s="85"/>
      <c r="C20" s="70"/>
      <c r="D20" s="71"/>
      <c r="E20" s="72"/>
      <c r="F20" s="72"/>
      <c r="G20" s="72"/>
      <c r="H20" s="72"/>
      <c r="I20" s="72"/>
      <c r="J20" s="74"/>
      <c r="K20" s="75"/>
      <c r="L20" s="74"/>
      <c r="M20" s="86"/>
      <c r="N20" s="81"/>
      <c r="O20" s="77"/>
      <c r="P20" s="79"/>
      <c r="Q20" s="78"/>
      <c r="R20" s="77"/>
      <c r="S20" s="79"/>
      <c r="T20" s="74"/>
      <c r="U20" s="80">
        <v>41.673575</v>
      </c>
      <c r="V20" s="74"/>
      <c r="W20" s="81"/>
      <c r="X20" s="77"/>
      <c r="Y20" s="87">
        <f t="shared" si="0"/>
        <v>0</v>
      </c>
      <c r="Z20" s="83"/>
      <c r="AA20" s="84"/>
    </row>
    <row r="21" spans="1:87" ht="15.75" customHeight="1">
      <c r="A21" s="40" t="s">
        <v>12</v>
      </c>
      <c r="B21" s="85"/>
      <c r="C21" s="70"/>
      <c r="D21" s="71"/>
      <c r="E21" s="195"/>
      <c r="F21" s="196"/>
      <c r="G21" s="197"/>
      <c r="H21" s="72"/>
      <c r="I21" s="72"/>
      <c r="J21" s="74"/>
      <c r="K21" s="75"/>
      <c r="L21" s="74"/>
      <c r="M21" s="86"/>
      <c r="N21" s="81"/>
      <c r="O21" s="77"/>
      <c r="P21" s="79"/>
      <c r="Q21" s="78"/>
      <c r="R21" s="77"/>
      <c r="S21" s="79"/>
      <c r="T21" s="74"/>
      <c r="U21" s="80">
        <v>43.871250000000003</v>
      </c>
      <c r="V21" s="74"/>
      <c r="W21" s="81"/>
      <c r="X21" s="77"/>
      <c r="Y21" s="87">
        <f t="shared" si="0"/>
        <v>0</v>
      </c>
      <c r="Z21" s="83"/>
      <c r="AA21" s="84"/>
    </row>
    <row r="22" spans="1:87" ht="15.75" customHeight="1">
      <c r="A22" s="40" t="s">
        <v>13</v>
      </c>
      <c r="B22" s="85"/>
      <c r="C22" s="70"/>
      <c r="D22" s="71"/>
      <c r="E22" s="195"/>
      <c r="F22" s="196"/>
      <c r="G22" s="197"/>
      <c r="H22" s="72"/>
      <c r="I22" s="72"/>
      <c r="J22" s="74"/>
      <c r="K22" s="75"/>
      <c r="L22" s="74"/>
      <c r="M22" s="86"/>
      <c r="N22" s="81"/>
      <c r="O22" s="77"/>
      <c r="P22" s="79"/>
      <c r="Q22" s="78"/>
      <c r="R22" s="77"/>
      <c r="S22" s="79"/>
      <c r="T22" s="74"/>
      <c r="U22" s="80">
        <v>39.571550000000002</v>
      </c>
      <c r="V22" s="74"/>
      <c r="W22" s="81"/>
      <c r="X22" s="77"/>
      <c r="Y22" s="87">
        <f t="shared" ref="Y22:Y28" si="1">W22-X22</f>
        <v>0</v>
      </c>
      <c r="Z22" s="83"/>
      <c r="AA22" s="84"/>
    </row>
    <row r="23" spans="1:87" ht="15.75" customHeight="1">
      <c r="A23" s="40" t="s">
        <v>14</v>
      </c>
      <c r="B23" s="85"/>
      <c r="C23" s="70"/>
      <c r="D23" s="71"/>
      <c r="E23" s="195"/>
      <c r="F23" s="196"/>
      <c r="G23" s="197"/>
      <c r="H23" s="72"/>
      <c r="I23" s="72"/>
      <c r="J23" s="74"/>
      <c r="K23" s="75"/>
      <c r="L23" s="74"/>
      <c r="M23" s="86"/>
      <c r="N23" s="81"/>
      <c r="O23" s="77"/>
      <c r="P23" s="79"/>
      <c r="Q23" s="78"/>
      <c r="R23" s="77"/>
      <c r="S23" s="79"/>
      <c r="T23" s="74"/>
      <c r="U23" s="80">
        <v>48.869275000000002</v>
      </c>
      <c r="V23" s="74"/>
      <c r="W23" s="81"/>
      <c r="X23" s="77"/>
      <c r="Y23" s="87">
        <f t="shared" si="1"/>
        <v>0</v>
      </c>
      <c r="Z23" s="83"/>
      <c r="AA23" s="84"/>
    </row>
    <row r="24" spans="1:87" ht="15.75" customHeight="1">
      <c r="A24" s="40" t="s">
        <v>15</v>
      </c>
      <c r="B24" s="85"/>
      <c r="C24" s="70"/>
      <c r="D24" s="71"/>
      <c r="E24" s="195"/>
      <c r="F24" s="196"/>
      <c r="G24" s="197"/>
      <c r="H24" s="72"/>
      <c r="I24" s="72"/>
      <c r="J24" s="74"/>
      <c r="K24" s="75"/>
      <c r="L24" s="74"/>
      <c r="M24" s="86"/>
      <c r="N24" s="81"/>
      <c r="O24" s="77"/>
      <c r="P24" s="79"/>
      <c r="Q24" s="78"/>
      <c r="R24" s="77"/>
      <c r="S24" s="79"/>
      <c r="T24" s="74"/>
      <c r="U24" s="80">
        <v>48.701525000000004</v>
      </c>
      <c r="V24" s="74"/>
      <c r="W24" s="81"/>
      <c r="X24" s="77"/>
      <c r="Y24" s="87">
        <f t="shared" si="1"/>
        <v>0</v>
      </c>
      <c r="Z24" s="83"/>
      <c r="AA24" s="84"/>
    </row>
    <row r="25" spans="1:87" ht="15.75" customHeight="1">
      <c r="A25" s="40" t="s">
        <v>16</v>
      </c>
      <c r="B25" s="85"/>
      <c r="C25" s="70"/>
      <c r="D25" s="71"/>
      <c r="E25" s="195"/>
      <c r="F25" s="196"/>
      <c r="G25" s="197"/>
      <c r="H25" s="72"/>
      <c r="I25" s="72"/>
      <c r="J25" s="74"/>
      <c r="K25" s="75"/>
      <c r="L25" s="74"/>
      <c r="M25" s="86"/>
      <c r="N25" s="81"/>
      <c r="O25" s="77"/>
      <c r="P25" s="79"/>
      <c r="Q25" s="78"/>
      <c r="R25" s="77"/>
      <c r="S25" s="79"/>
      <c r="T25" s="74"/>
      <c r="U25" s="80">
        <v>33.265900000000002</v>
      </c>
      <c r="V25" s="74"/>
      <c r="W25" s="81"/>
      <c r="X25" s="77"/>
      <c r="Y25" s="87">
        <f t="shared" si="1"/>
        <v>0</v>
      </c>
      <c r="Z25" s="83"/>
      <c r="AA25" s="84"/>
    </row>
    <row r="26" spans="1:87" ht="15.75" customHeight="1">
      <c r="A26" s="40" t="s">
        <v>17</v>
      </c>
      <c r="B26" s="85"/>
      <c r="C26" s="70"/>
      <c r="D26" s="71"/>
      <c r="E26" s="195"/>
      <c r="F26" s="196"/>
      <c r="G26" s="197"/>
      <c r="H26" s="72"/>
      <c r="I26" s="72"/>
      <c r="J26" s="74"/>
      <c r="K26" s="75"/>
      <c r="L26" s="74"/>
      <c r="M26" s="86"/>
      <c r="N26" s="81"/>
      <c r="O26" s="77"/>
      <c r="P26" s="79"/>
      <c r="Q26" s="78"/>
      <c r="R26" s="77"/>
      <c r="S26" s="79"/>
      <c r="T26" s="74"/>
      <c r="U26" s="80">
        <v>41.647500000000001</v>
      </c>
      <c r="V26" s="74"/>
      <c r="W26" s="81"/>
      <c r="X26" s="77"/>
      <c r="Y26" s="87">
        <f t="shared" si="1"/>
        <v>0</v>
      </c>
      <c r="AA26" s="40"/>
    </row>
    <row r="27" spans="1:87" ht="15.75" customHeight="1">
      <c r="A27" s="40" t="s">
        <v>18</v>
      </c>
      <c r="B27" s="85"/>
      <c r="C27" s="70"/>
      <c r="D27" s="71"/>
      <c r="E27" s="195"/>
      <c r="F27" s="196"/>
      <c r="G27" s="197"/>
      <c r="H27" s="72"/>
      <c r="I27" s="72"/>
      <c r="J27" s="74"/>
      <c r="K27" s="75"/>
      <c r="L27" s="74"/>
      <c r="M27" s="86"/>
      <c r="N27" s="81"/>
      <c r="O27" s="77"/>
      <c r="P27" s="79"/>
      <c r="Q27" s="78"/>
      <c r="R27" s="77"/>
      <c r="S27" s="79"/>
      <c r="T27" s="74"/>
      <c r="U27" s="80">
        <v>36.290275000000001</v>
      </c>
      <c r="V27" s="74"/>
      <c r="W27" s="81"/>
      <c r="X27" s="77"/>
      <c r="Y27" s="87">
        <f t="shared" si="1"/>
        <v>0</v>
      </c>
      <c r="AA27" s="40"/>
    </row>
    <row r="28" spans="1:87" ht="15.75" customHeight="1">
      <c r="A28" s="40" t="s">
        <v>19</v>
      </c>
      <c r="B28" s="85"/>
      <c r="C28" s="70"/>
      <c r="D28" s="71"/>
      <c r="E28" s="195"/>
      <c r="F28" s="196"/>
      <c r="G28" s="197"/>
      <c r="H28" s="72"/>
      <c r="I28" s="72"/>
      <c r="J28" s="74"/>
      <c r="K28" s="75"/>
      <c r="L28" s="74"/>
      <c r="M28" s="86"/>
      <c r="N28" s="81"/>
      <c r="O28" s="77"/>
      <c r="P28" s="79"/>
      <c r="Q28" s="78"/>
      <c r="R28" s="77"/>
      <c r="S28" s="79"/>
      <c r="T28" s="74"/>
      <c r="U28" s="80">
        <v>36.000074999999995</v>
      </c>
      <c r="V28" s="74"/>
      <c r="W28" s="81"/>
      <c r="X28" s="77"/>
      <c r="Y28" s="87">
        <f t="shared" si="1"/>
        <v>0</v>
      </c>
      <c r="AA28" s="40"/>
    </row>
    <row r="29" spans="1:87" ht="15.75" customHeight="1">
      <c r="A29" s="40" t="s">
        <v>20</v>
      </c>
      <c r="B29" s="193"/>
      <c r="C29" s="81"/>
      <c r="D29" s="194"/>
      <c r="E29" s="199"/>
      <c r="F29" s="196"/>
      <c r="G29" s="197"/>
      <c r="H29" s="72"/>
      <c r="I29" s="72"/>
      <c r="J29" s="74"/>
      <c r="K29" s="200">
        <v>1555721747</v>
      </c>
      <c r="L29" s="74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4">
        <v>3178269942</v>
      </c>
      <c r="X29" s="203">
        <v>3375501685</v>
      </c>
      <c r="Y29" s="202">
        <f>W29-X29</f>
        <v>-197231743</v>
      </c>
      <c r="Z29" s="202"/>
      <c r="AA29" s="202"/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/>
      <c r="AT29" s="202"/>
      <c r="AU29" s="202"/>
      <c r="AV29" s="202"/>
      <c r="AW29" s="202"/>
      <c r="AX29" s="202"/>
      <c r="AY29" s="202"/>
      <c r="AZ29" s="202"/>
      <c r="BA29" s="202"/>
      <c r="BB29" s="202"/>
      <c r="BC29" s="202"/>
      <c r="BD29" s="202"/>
      <c r="BE29" s="202"/>
      <c r="BF29" s="202"/>
      <c r="BG29" s="202"/>
      <c r="BH29" s="202"/>
      <c r="BI29" s="202"/>
      <c r="BJ29" s="202"/>
      <c r="BK29" s="202"/>
      <c r="BL29" s="202"/>
      <c r="BM29" s="202"/>
      <c r="BN29" s="202"/>
      <c r="BO29" s="202"/>
      <c r="BP29" s="202"/>
      <c r="BQ29" s="202"/>
      <c r="BR29" s="202"/>
      <c r="BS29" s="202"/>
      <c r="BT29" s="202"/>
      <c r="BU29" s="202"/>
      <c r="BV29" s="202"/>
      <c r="BW29" s="202"/>
      <c r="BX29" s="202"/>
      <c r="BY29" s="202"/>
      <c r="BZ29" s="202"/>
      <c r="CA29" s="202"/>
      <c r="CB29" s="202"/>
      <c r="CC29" s="202"/>
      <c r="CD29" s="202"/>
      <c r="CE29" s="202"/>
      <c r="CF29" s="202"/>
      <c r="CG29" s="202"/>
      <c r="CH29" s="202"/>
      <c r="CI29" s="202"/>
    </row>
    <row r="30" spans="1:87" ht="15.75" customHeight="1">
      <c r="A30" s="40" t="s">
        <v>21</v>
      </c>
      <c r="B30" s="193"/>
      <c r="C30" s="81"/>
      <c r="D30" s="194"/>
      <c r="E30" s="199"/>
      <c r="F30" s="196"/>
      <c r="G30" s="197"/>
      <c r="H30" s="72"/>
      <c r="I30" s="72"/>
      <c r="J30" s="74"/>
      <c r="K30" s="200">
        <v>1749982774</v>
      </c>
      <c r="L30" s="74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4">
        <v>3570590925</v>
      </c>
      <c r="X30" s="203">
        <v>3494121398</v>
      </c>
      <c r="Y30" s="202">
        <f t="shared" ref="Y30:Y93" si="2">W30-X30</f>
        <v>76469527</v>
      </c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02"/>
      <c r="AY30" s="202"/>
      <c r="AZ30" s="202"/>
      <c r="BA30" s="202"/>
      <c r="BB30" s="202"/>
      <c r="BC30" s="202"/>
      <c r="BD30" s="202"/>
      <c r="BE30" s="202"/>
      <c r="BF30" s="202"/>
      <c r="BG30" s="202"/>
      <c r="BH30" s="202"/>
      <c r="BI30" s="202"/>
      <c r="BJ30" s="202"/>
      <c r="BK30" s="202"/>
      <c r="BL30" s="202"/>
      <c r="BM30" s="202"/>
      <c r="BN30" s="202"/>
      <c r="BO30" s="202"/>
      <c r="BP30" s="202"/>
      <c r="BQ30" s="202"/>
      <c r="BR30" s="202"/>
      <c r="BS30" s="202"/>
      <c r="BT30" s="202"/>
      <c r="BU30" s="202"/>
      <c r="BV30" s="202"/>
      <c r="BW30" s="202"/>
      <c r="BX30" s="202"/>
      <c r="BY30" s="202"/>
      <c r="BZ30" s="202"/>
      <c r="CA30" s="202"/>
      <c r="CB30" s="202"/>
      <c r="CC30" s="202"/>
      <c r="CD30" s="202"/>
      <c r="CE30" s="202"/>
      <c r="CF30" s="202"/>
      <c r="CG30" s="202"/>
      <c r="CH30" s="202"/>
      <c r="CI30" s="202"/>
    </row>
    <row r="31" spans="1:87" ht="15.75" customHeight="1">
      <c r="A31" s="40" t="s">
        <v>22</v>
      </c>
      <c r="B31" s="193"/>
      <c r="C31" s="81"/>
      <c r="D31" s="194"/>
      <c r="E31" s="199"/>
      <c r="F31" s="196"/>
      <c r="G31" s="197"/>
      <c r="H31" s="72"/>
      <c r="I31" s="72"/>
      <c r="J31" s="74"/>
      <c r="K31" s="200">
        <v>2012876674.0000002</v>
      </c>
      <c r="L31" s="74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4">
        <v>3869069892</v>
      </c>
      <c r="X31" s="203">
        <v>3564655645</v>
      </c>
      <c r="Y31" s="202">
        <f t="shared" si="2"/>
        <v>304414247</v>
      </c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  <c r="AW31" s="202"/>
      <c r="AX31" s="202"/>
      <c r="AY31" s="202"/>
      <c r="AZ31" s="202"/>
      <c r="BA31" s="202"/>
      <c r="BB31" s="202"/>
      <c r="BC31" s="202"/>
      <c r="BD31" s="202"/>
      <c r="BE31" s="202"/>
      <c r="BF31" s="202"/>
      <c r="BG31" s="202"/>
      <c r="BH31" s="202"/>
      <c r="BI31" s="202"/>
      <c r="BJ31" s="202"/>
      <c r="BK31" s="202"/>
      <c r="BL31" s="202"/>
      <c r="BM31" s="202"/>
      <c r="BN31" s="202"/>
      <c r="BO31" s="202"/>
      <c r="BP31" s="202"/>
      <c r="BQ31" s="202"/>
      <c r="BR31" s="202"/>
      <c r="BS31" s="202"/>
      <c r="BT31" s="202"/>
      <c r="BU31" s="202"/>
      <c r="BV31" s="202"/>
      <c r="BW31" s="202"/>
      <c r="BX31" s="202"/>
      <c r="BY31" s="202"/>
      <c r="BZ31" s="202"/>
      <c r="CA31" s="202"/>
      <c r="CB31" s="202"/>
      <c r="CC31" s="202"/>
      <c r="CD31" s="202"/>
      <c r="CE31" s="202"/>
      <c r="CF31" s="202"/>
      <c r="CG31" s="202"/>
      <c r="CH31" s="202"/>
      <c r="CI31" s="202"/>
    </row>
    <row r="32" spans="1:87" ht="15.75" customHeight="1">
      <c r="A32" s="40" t="s">
        <v>23</v>
      </c>
      <c r="B32" s="193"/>
      <c r="C32" s="81"/>
      <c r="D32" s="194"/>
      <c r="E32" s="199"/>
      <c r="F32" s="196"/>
      <c r="G32" s="197"/>
      <c r="H32" s="72"/>
      <c r="I32" s="72"/>
      <c r="J32" s="74"/>
      <c r="K32" s="200">
        <v>2317070339</v>
      </c>
      <c r="L32" s="74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4">
        <v>4250326259.9999995</v>
      </c>
      <c r="X32" s="203">
        <v>3759821120</v>
      </c>
      <c r="Y32" s="202">
        <f t="shared" si="2"/>
        <v>490505139.99999952</v>
      </c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  <c r="AK32" s="202"/>
      <c r="AL32" s="202"/>
      <c r="AM32" s="202"/>
      <c r="AN32" s="202"/>
      <c r="AO32" s="202"/>
      <c r="AP32" s="202"/>
      <c r="AQ32" s="202"/>
      <c r="AR32" s="202"/>
      <c r="AS32" s="202"/>
      <c r="AT32" s="202"/>
      <c r="AU32" s="202"/>
      <c r="AV32" s="202"/>
      <c r="AW32" s="202"/>
      <c r="AX32" s="202"/>
      <c r="AY32" s="202"/>
      <c r="AZ32" s="202"/>
      <c r="BA32" s="202"/>
      <c r="BB32" s="202"/>
      <c r="BC32" s="202"/>
      <c r="BD32" s="202"/>
      <c r="BE32" s="202"/>
      <c r="BF32" s="202"/>
      <c r="BG32" s="202"/>
      <c r="BH32" s="202"/>
      <c r="BI32" s="202"/>
      <c r="BJ32" s="202"/>
      <c r="BK32" s="202"/>
      <c r="BL32" s="202"/>
      <c r="BM32" s="202"/>
      <c r="BN32" s="202"/>
      <c r="BO32" s="202"/>
      <c r="BP32" s="202"/>
      <c r="BQ32" s="202"/>
      <c r="BR32" s="202"/>
      <c r="BS32" s="202"/>
      <c r="BT32" s="202"/>
      <c r="BU32" s="202"/>
      <c r="BV32" s="202"/>
      <c r="BW32" s="202"/>
      <c r="BX32" s="202"/>
      <c r="BY32" s="202"/>
      <c r="BZ32" s="202"/>
      <c r="CA32" s="202"/>
      <c r="CB32" s="202"/>
      <c r="CC32" s="202"/>
      <c r="CD32" s="202"/>
      <c r="CE32" s="202"/>
      <c r="CF32" s="202"/>
      <c r="CG32" s="202"/>
      <c r="CH32" s="202"/>
      <c r="CI32" s="202"/>
    </row>
    <row r="33" spans="1:87" ht="15.75" customHeight="1">
      <c r="A33" s="40" t="s">
        <v>24</v>
      </c>
      <c r="B33" s="193"/>
      <c r="C33" s="81"/>
      <c r="D33" s="194"/>
      <c r="E33" s="199"/>
      <c r="F33" s="196"/>
      <c r="G33" s="197"/>
      <c r="H33" s="72"/>
      <c r="I33" s="72"/>
      <c r="J33" s="74"/>
      <c r="K33" s="200">
        <v>2870410633</v>
      </c>
      <c r="L33" s="74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4">
        <v>4445471150</v>
      </c>
      <c r="X33" s="203">
        <v>3863263372</v>
      </c>
      <c r="Y33" s="202">
        <f t="shared" si="2"/>
        <v>582207778</v>
      </c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2"/>
      <c r="AX33" s="202"/>
      <c r="AY33" s="202"/>
      <c r="AZ33" s="202"/>
      <c r="BA33" s="202"/>
      <c r="BB33" s="202"/>
      <c r="BC33" s="202"/>
      <c r="BD33" s="202"/>
      <c r="BE33" s="202"/>
      <c r="BF33" s="202"/>
      <c r="BG33" s="202"/>
      <c r="BH33" s="202"/>
      <c r="BI33" s="202"/>
      <c r="BJ33" s="202"/>
      <c r="BK33" s="202"/>
      <c r="BL33" s="202"/>
      <c r="BM33" s="202"/>
      <c r="BN33" s="202"/>
      <c r="BO33" s="202"/>
      <c r="BP33" s="202"/>
      <c r="BQ33" s="202"/>
      <c r="BR33" s="202"/>
      <c r="BS33" s="202"/>
      <c r="BT33" s="202"/>
      <c r="BU33" s="202"/>
      <c r="BV33" s="202"/>
      <c r="BW33" s="202"/>
      <c r="BX33" s="202"/>
      <c r="BY33" s="202"/>
      <c r="BZ33" s="202"/>
      <c r="CA33" s="202"/>
      <c r="CB33" s="202"/>
      <c r="CC33" s="202"/>
      <c r="CD33" s="202"/>
      <c r="CE33" s="202"/>
      <c r="CF33" s="202"/>
      <c r="CG33" s="202"/>
      <c r="CH33" s="202"/>
      <c r="CI33" s="202"/>
    </row>
    <row r="34" spans="1:87" ht="15.75" customHeight="1">
      <c r="A34" s="40" t="s">
        <v>25</v>
      </c>
      <c r="B34" s="193"/>
      <c r="C34" s="81"/>
      <c r="D34" s="194"/>
      <c r="E34" s="199"/>
      <c r="F34" s="196"/>
      <c r="G34" s="197"/>
      <c r="H34" s="72"/>
      <c r="I34" s="72"/>
      <c r="J34" s="74"/>
      <c r="K34" s="200">
        <v>3059143782</v>
      </c>
      <c r="L34" s="74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4">
        <v>4627148670</v>
      </c>
      <c r="X34" s="203">
        <v>4840368749</v>
      </c>
      <c r="Y34" s="202">
        <f t="shared" si="2"/>
        <v>-213220079</v>
      </c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  <c r="AW34" s="202"/>
      <c r="AX34" s="202"/>
      <c r="AY34" s="202"/>
      <c r="AZ34" s="202"/>
      <c r="BA34" s="202"/>
      <c r="BB34" s="202"/>
      <c r="BC34" s="202"/>
      <c r="BD34" s="202"/>
      <c r="BE34" s="202"/>
      <c r="BF34" s="202"/>
      <c r="BG34" s="202"/>
      <c r="BH34" s="202"/>
      <c r="BI34" s="202"/>
      <c r="BJ34" s="202"/>
      <c r="BK34" s="202"/>
      <c r="BL34" s="202"/>
      <c r="BM34" s="202"/>
      <c r="BN34" s="202"/>
      <c r="BO34" s="202"/>
      <c r="BP34" s="202"/>
      <c r="BQ34" s="202"/>
      <c r="BR34" s="202"/>
      <c r="BS34" s="202"/>
      <c r="BT34" s="202"/>
      <c r="BU34" s="202"/>
      <c r="BV34" s="202"/>
      <c r="BW34" s="202"/>
      <c r="BX34" s="202"/>
      <c r="BY34" s="202"/>
      <c r="BZ34" s="202"/>
      <c r="CA34" s="202"/>
      <c r="CB34" s="202"/>
      <c r="CC34" s="202"/>
      <c r="CD34" s="202"/>
      <c r="CE34" s="202"/>
      <c r="CF34" s="202"/>
      <c r="CG34" s="202"/>
      <c r="CH34" s="202"/>
      <c r="CI34" s="202"/>
    </row>
    <row r="35" spans="1:87" ht="15.75" customHeight="1">
      <c r="A35" s="40" t="s">
        <v>26</v>
      </c>
      <c r="B35" s="193"/>
      <c r="C35" s="81"/>
      <c r="D35" s="194"/>
      <c r="E35" s="199"/>
      <c r="F35" s="196"/>
      <c r="G35" s="197"/>
      <c r="H35" s="72"/>
      <c r="I35" s="72"/>
      <c r="J35" s="74"/>
      <c r="K35" s="200">
        <v>3671287486</v>
      </c>
      <c r="L35" s="74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4">
        <v>5025310424</v>
      </c>
      <c r="X35" s="203">
        <v>5078603827</v>
      </c>
      <c r="Y35" s="202">
        <f t="shared" si="2"/>
        <v>-53293403</v>
      </c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02"/>
      <c r="AP35" s="202"/>
      <c r="AQ35" s="202"/>
      <c r="AR35" s="202"/>
      <c r="AS35" s="202"/>
      <c r="AT35" s="202"/>
      <c r="AU35" s="202"/>
      <c r="AV35" s="202"/>
      <c r="AW35" s="202"/>
      <c r="AX35" s="202"/>
      <c r="AY35" s="202"/>
      <c r="AZ35" s="202"/>
      <c r="BA35" s="202"/>
      <c r="BB35" s="202"/>
      <c r="BC35" s="202"/>
      <c r="BD35" s="202"/>
      <c r="BE35" s="202"/>
      <c r="BF35" s="202"/>
      <c r="BG35" s="202"/>
      <c r="BH35" s="202"/>
      <c r="BI35" s="202"/>
      <c r="BJ35" s="202"/>
      <c r="BK35" s="202"/>
      <c r="BL35" s="202"/>
      <c r="BM35" s="202"/>
      <c r="BN35" s="202"/>
      <c r="BO35" s="202"/>
      <c r="BP35" s="202"/>
      <c r="BQ35" s="202"/>
      <c r="BR35" s="202"/>
      <c r="BS35" s="202"/>
      <c r="BT35" s="202"/>
      <c r="BU35" s="202"/>
      <c r="BV35" s="202"/>
      <c r="BW35" s="202"/>
      <c r="BX35" s="202"/>
      <c r="BY35" s="202"/>
      <c r="BZ35" s="202"/>
      <c r="CA35" s="202"/>
      <c r="CB35" s="202"/>
      <c r="CC35" s="202"/>
      <c r="CD35" s="202"/>
      <c r="CE35" s="202"/>
      <c r="CF35" s="202"/>
      <c r="CG35" s="202"/>
      <c r="CH35" s="202"/>
      <c r="CI35" s="202"/>
    </row>
    <row r="36" spans="1:87" ht="15.75" customHeight="1">
      <c r="A36" s="40" t="s">
        <v>27</v>
      </c>
      <c r="B36" s="193"/>
      <c r="C36" s="81"/>
      <c r="D36" s="194"/>
      <c r="E36" s="199"/>
      <c r="F36" s="196"/>
      <c r="G36" s="197"/>
      <c r="H36" s="72"/>
      <c r="I36" s="72"/>
      <c r="J36" s="74"/>
      <c r="K36" s="200">
        <v>4001932718</v>
      </c>
      <c r="L36" s="74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4">
        <v>6100147498</v>
      </c>
      <c r="X36" s="203">
        <v>6462116836</v>
      </c>
      <c r="Y36" s="202">
        <f t="shared" si="2"/>
        <v>-361969338</v>
      </c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2"/>
      <c r="AX36" s="202"/>
      <c r="AY36" s="202"/>
      <c r="AZ36" s="202"/>
      <c r="BA36" s="202"/>
      <c r="BB36" s="202"/>
      <c r="BC36" s="202"/>
      <c r="BD36" s="202"/>
      <c r="BE36" s="202"/>
      <c r="BF36" s="202"/>
      <c r="BG36" s="202"/>
      <c r="BH36" s="202"/>
      <c r="BI36" s="202"/>
      <c r="BJ36" s="202"/>
      <c r="BK36" s="202"/>
      <c r="BL36" s="202"/>
      <c r="BM36" s="202"/>
      <c r="BN36" s="202"/>
      <c r="BO36" s="202"/>
      <c r="BP36" s="202"/>
      <c r="BQ36" s="202"/>
      <c r="BR36" s="202"/>
      <c r="BS36" s="202"/>
      <c r="BT36" s="202"/>
      <c r="BU36" s="202"/>
      <c r="BV36" s="202"/>
      <c r="BW36" s="202"/>
      <c r="BX36" s="202"/>
      <c r="BY36" s="202"/>
      <c r="BZ36" s="202"/>
      <c r="CA36" s="202"/>
      <c r="CB36" s="202"/>
      <c r="CC36" s="202"/>
      <c r="CD36" s="202"/>
      <c r="CE36" s="202"/>
      <c r="CF36" s="202"/>
      <c r="CG36" s="202"/>
      <c r="CH36" s="202"/>
      <c r="CI36" s="202"/>
    </row>
    <row r="37" spans="1:87" ht="15.75" customHeight="1">
      <c r="A37" s="40" t="s">
        <v>28</v>
      </c>
      <c r="B37" s="193"/>
      <c r="C37" s="81"/>
      <c r="D37" s="194"/>
      <c r="E37" s="199"/>
      <c r="F37" s="196"/>
      <c r="G37" s="197"/>
      <c r="H37" s="72"/>
      <c r="I37" s="72"/>
      <c r="J37" s="74"/>
      <c r="K37" s="200">
        <v>4459007547</v>
      </c>
      <c r="L37" s="74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4">
        <v>7381271101</v>
      </c>
      <c r="X37" s="203">
        <v>8655351781</v>
      </c>
      <c r="Y37" s="202">
        <f t="shared" si="2"/>
        <v>-1274080680</v>
      </c>
      <c r="Z37" s="202"/>
      <c r="AA37" s="202"/>
      <c r="AB37" s="202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2"/>
      <c r="AQ37" s="202"/>
      <c r="AR37" s="202"/>
      <c r="AS37" s="202"/>
      <c r="AT37" s="202"/>
      <c r="AU37" s="202"/>
      <c r="AV37" s="202"/>
      <c r="AW37" s="202"/>
      <c r="AX37" s="202"/>
      <c r="AY37" s="202"/>
      <c r="AZ37" s="202"/>
      <c r="BA37" s="202"/>
      <c r="BB37" s="202"/>
      <c r="BC37" s="202"/>
      <c r="BD37" s="202"/>
      <c r="BE37" s="202"/>
      <c r="BF37" s="202"/>
      <c r="BG37" s="202"/>
      <c r="BH37" s="202"/>
      <c r="BI37" s="202"/>
      <c r="BJ37" s="202"/>
      <c r="BK37" s="202"/>
      <c r="BL37" s="202"/>
      <c r="BM37" s="202"/>
      <c r="BN37" s="202"/>
      <c r="BO37" s="202"/>
      <c r="BP37" s="202"/>
      <c r="BQ37" s="202"/>
      <c r="BR37" s="202"/>
      <c r="BS37" s="202"/>
      <c r="BT37" s="202"/>
      <c r="BU37" s="202"/>
      <c r="BV37" s="202"/>
      <c r="BW37" s="202"/>
      <c r="BX37" s="202"/>
      <c r="BY37" s="202"/>
      <c r="BZ37" s="202"/>
      <c r="CA37" s="202"/>
      <c r="CB37" s="202"/>
      <c r="CC37" s="202"/>
      <c r="CD37" s="202"/>
      <c r="CE37" s="202"/>
      <c r="CF37" s="202"/>
      <c r="CG37" s="202"/>
      <c r="CH37" s="202"/>
      <c r="CI37" s="202"/>
    </row>
    <row r="38" spans="1:87" ht="15.75" customHeight="1">
      <c r="A38" s="40" t="s">
        <v>29</v>
      </c>
      <c r="B38" s="193"/>
      <c r="C38" s="81"/>
      <c r="D38" s="194"/>
      <c r="E38" s="199"/>
      <c r="F38" s="196"/>
      <c r="G38" s="197"/>
      <c r="H38" s="72"/>
      <c r="I38" s="72"/>
      <c r="J38" s="74"/>
      <c r="K38" s="200">
        <v>4955868912</v>
      </c>
      <c r="L38" s="74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4">
        <v>8427407692.999999</v>
      </c>
      <c r="X38" s="203">
        <v>9499986401</v>
      </c>
      <c r="Y38" s="202">
        <f t="shared" si="2"/>
        <v>-1072578708.000001</v>
      </c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2"/>
      <c r="AQ38" s="202"/>
      <c r="AR38" s="202"/>
      <c r="AS38" s="202"/>
      <c r="AT38" s="202"/>
      <c r="AU38" s="202"/>
      <c r="AV38" s="202"/>
      <c r="AW38" s="202"/>
      <c r="AX38" s="202"/>
      <c r="AY38" s="202"/>
      <c r="AZ38" s="202"/>
      <c r="BA38" s="202"/>
      <c r="BB38" s="202"/>
      <c r="BC38" s="202"/>
      <c r="BD38" s="202"/>
      <c r="BE38" s="202"/>
      <c r="BF38" s="202"/>
      <c r="BG38" s="202"/>
      <c r="BH38" s="202"/>
      <c r="BI38" s="202"/>
      <c r="BJ38" s="202"/>
      <c r="BK38" s="202"/>
      <c r="BL38" s="202"/>
      <c r="BM38" s="202"/>
      <c r="BN38" s="202"/>
      <c r="BO38" s="202"/>
      <c r="BP38" s="202"/>
      <c r="BQ38" s="202"/>
      <c r="BR38" s="202"/>
      <c r="BS38" s="202"/>
      <c r="BT38" s="202"/>
      <c r="BU38" s="202"/>
      <c r="BV38" s="202"/>
      <c r="BW38" s="202"/>
      <c r="BX38" s="202"/>
      <c r="BY38" s="202"/>
      <c r="BZ38" s="202"/>
      <c r="CA38" s="202"/>
      <c r="CB38" s="202"/>
      <c r="CC38" s="202"/>
      <c r="CD38" s="202"/>
      <c r="CE38" s="202"/>
      <c r="CF38" s="202"/>
      <c r="CG38" s="202"/>
      <c r="CH38" s="202"/>
      <c r="CI38" s="202"/>
    </row>
    <row r="39" spans="1:87" ht="15.75" customHeight="1">
      <c r="A39" s="40" t="s">
        <v>30</v>
      </c>
      <c r="B39" s="193"/>
      <c r="C39" s="81"/>
      <c r="D39" s="194"/>
      <c r="E39" s="199"/>
      <c r="F39" s="196"/>
      <c r="G39" s="197"/>
      <c r="H39" s="72"/>
      <c r="I39" s="72"/>
      <c r="J39" s="74"/>
      <c r="K39" s="200">
        <v>5358721868</v>
      </c>
      <c r="L39" s="74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4">
        <v>8862633102</v>
      </c>
      <c r="X39" s="203">
        <v>9720140787</v>
      </c>
      <c r="Y39" s="202">
        <f t="shared" si="2"/>
        <v>-857507685</v>
      </c>
      <c r="Z39" s="202"/>
      <c r="AA39" s="202"/>
      <c r="AB39" s="202"/>
      <c r="AC39" s="202"/>
      <c r="AD39" s="202"/>
      <c r="AE39" s="202"/>
      <c r="AF39" s="202"/>
      <c r="AG39" s="202"/>
      <c r="AH39" s="202"/>
      <c r="AI39" s="202"/>
      <c r="AJ39" s="202"/>
      <c r="AK39" s="202"/>
      <c r="AL39" s="202"/>
      <c r="AM39" s="202"/>
      <c r="AN39" s="202"/>
      <c r="AO39" s="202"/>
      <c r="AP39" s="202"/>
      <c r="AQ39" s="202"/>
      <c r="AR39" s="202"/>
      <c r="AS39" s="202"/>
      <c r="AT39" s="202"/>
      <c r="AU39" s="202"/>
      <c r="AV39" s="202"/>
      <c r="AW39" s="202"/>
      <c r="AX39" s="202"/>
      <c r="AY39" s="202"/>
      <c r="AZ39" s="202"/>
      <c r="BA39" s="202"/>
      <c r="BB39" s="202"/>
      <c r="BC39" s="202"/>
      <c r="BD39" s="202"/>
      <c r="BE39" s="202"/>
      <c r="BF39" s="202"/>
      <c r="BG39" s="202"/>
      <c r="BH39" s="202"/>
      <c r="BI39" s="202"/>
      <c r="BJ39" s="202"/>
      <c r="BK39" s="202"/>
      <c r="BL39" s="202"/>
      <c r="BM39" s="202"/>
      <c r="BN39" s="202"/>
      <c r="BO39" s="202"/>
      <c r="BP39" s="202"/>
      <c r="BQ39" s="202"/>
      <c r="BR39" s="202"/>
      <c r="BS39" s="202"/>
      <c r="BT39" s="202"/>
      <c r="BU39" s="202"/>
      <c r="BV39" s="202"/>
      <c r="BW39" s="202"/>
      <c r="BX39" s="202"/>
      <c r="BY39" s="202"/>
      <c r="BZ39" s="202"/>
      <c r="CA39" s="202"/>
      <c r="CB39" s="202"/>
      <c r="CC39" s="202"/>
      <c r="CD39" s="202"/>
      <c r="CE39" s="202"/>
      <c r="CF39" s="202"/>
      <c r="CG39" s="202"/>
      <c r="CH39" s="202"/>
      <c r="CI39" s="202"/>
    </row>
    <row r="40" spans="1:87" ht="15.75" customHeight="1">
      <c r="A40" s="40" t="s">
        <v>31</v>
      </c>
      <c r="B40" s="193"/>
      <c r="C40" s="81"/>
      <c r="D40" s="194"/>
      <c r="E40" s="199"/>
      <c r="F40" s="196"/>
      <c r="G40" s="197"/>
      <c r="H40" s="72"/>
      <c r="I40" s="72"/>
      <c r="J40" s="74"/>
      <c r="K40" s="200">
        <v>5683358116</v>
      </c>
      <c r="L40" s="74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4">
        <v>9423793094</v>
      </c>
      <c r="X40" s="203">
        <v>10664823250</v>
      </c>
      <c r="Y40" s="202">
        <f t="shared" si="2"/>
        <v>-1241030156</v>
      </c>
      <c r="Z40" s="202"/>
      <c r="AA40" s="202"/>
      <c r="AB40" s="202"/>
      <c r="AC40" s="202"/>
      <c r="AD40" s="202"/>
      <c r="AE40" s="202"/>
      <c r="AF40" s="202"/>
      <c r="AG40" s="202"/>
      <c r="AH40" s="202"/>
      <c r="AI40" s="202"/>
      <c r="AJ40" s="202"/>
      <c r="AK40" s="202"/>
      <c r="AL40" s="202"/>
      <c r="AM40" s="202"/>
      <c r="AN40" s="202"/>
      <c r="AO40" s="202"/>
      <c r="AP40" s="202"/>
      <c r="AQ40" s="202"/>
      <c r="AR40" s="202"/>
      <c r="AS40" s="202"/>
      <c r="AT40" s="202"/>
      <c r="AU40" s="202"/>
      <c r="AV40" s="202"/>
      <c r="AW40" s="202"/>
      <c r="AX40" s="202"/>
      <c r="AY40" s="202"/>
      <c r="AZ40" s="202"/>
      <c r="BA40" s="202"/>
      <c r="BB40" s="202"/>
      <c r="BC40" s="202"/>
      <c r="BD40" s="202"/>
      <c r="BE40" s="202"/>
      <c r="BF40" s="202"/>
      <c r="BG40" s="202"/>
      <c r="BH40" s="202"/>
      <c r="BI40" s="202"/>
      <c r="BJ40" s="202"/>
      <c r="BK40" s="202"/>
      <c r="BL40" s="202"/>
      <c r="BM40" s="202"/>
      <c r="BN40" s="202"/>
      <c r="BO40" s="202"/>
      <c r="BP40" s="202"/>
      <c r="BQ40" s="202"/>
      <c r="BR40" s="202"/>
      <c r="BS40" s="202"/>
      <c r="BT40" s="202"/>
      <c r="BU40" s="202"/>
      <c r="BV40" s="202"/>
      <c r="BW40" s="202"/>
      <c r="BX40" s="202"/>
      <c r="BY40" s="202"/>
      <c r="BZ40" s="202"/>
      <c r="CA40" s="202"/>
      <c r="CB40" s="202"/>
      <c r="CC40" s="202"/>
      <c r="CD40" s="202"/>
      <c r="CE40" s="202"/>
      <c r="CF40" s="202"/>
      <c r="CG40" s="202"/>
      <c r="CH40" s="202"/>
      <c r="CI40" s="202"/>
    </row>
    <row r="41" spans="1:87" ht="15.75" customHeight="1">
      <c r="A41" s="40" t="s">
        <v>32</v>
      </c>
      <c r="B41" s="193"/>
      <c r="C41" s="81"/>
      <c r="D41" s="194"/>
      <c r="E41" s="199"/>
      <c r="F41" s="196"/>
      <c r="G41" s="197"/>
      <c r="H41" s="72"/>
      <c r="I41" s="72"/>
      <c r="J41" s="74"/>
      <c r="K41" s="200">
        <v>5969689833</v>
      </c>
      <c r="L41" s="74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4">
        <v>11456040230</v>
      </c>
      <c r="X41" s="203">
        <v>10737732540</v>
      </c>
      <c r="Y41" s="202">
        <f t="shared" si="2"/>
        <v>718307690</v>
      </c>
      <c r="Z41" s="202"/>
      <c r="AA41" s="202"/>
      <c r="AB41" s="202"/>
      <c r="AC41" s="202"/>
      <c r="AD41" s="202"/>
      <c r="AE41" s="202"/>
      <c r="AF41" s="202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02"/>
      <c r="AT41" s="202"/>
      <c r="AU41" s="202"/>
      <c r="AV41" s="202"/>
      <c r="AW41" s="202"/>
      <c r="AX41" s="202"/>
      <c r="AY41" s="202"/>
      <c r="AZ41" s="202"/>
      <c r="BA41" s="202"/>
      <c r="BB41" s="202"/>
      <c r="BC41" s="202"/>
      <c r="BD41" s="202"/>
      <c r="BE41" s="202"/>
      <c r="BF41" s="202"/>
      <c r="BG41" s="202"/>
      <c r="BH41" s="202"/>
      <c r="BI41" s="202"/>
      <c r="BJ41" s="202"/>
      <c r="BK41" s="202"/>
      <c r="BL41" s="202"/>
      <c r="BM41" s="202"/>
      <c r="BN41" s="202"/>
      <c r="BO41" s="202"/>
      <c r="BP41" s="202"/>
      <c r="BQ41" s="202"/>
      <c r="BR41" s="202"/>
      <c r="BS41" s="202"/>
      <c r="BT41" s="202"/>
      <c r="BU41" s="202"/>
      <c r="BV41" s="202"/>
      <c r="BW41" s="202"/>
      <c r="BX41" s="202"/>
      <c r="BY41" s="202"/>
      <c r="BZ41" s="202"/>
      <c r="CA41" s="202"/>
      <c r="CB41" s="202"/>
      <c r="CC41" s="202"/>
      <c r="CD41" s="202"/>
      <c r="CE41" s="202"/>
      <c r="CF41" s="202"/>
      <c r="CG41" s="202"/>
      <c r="CH41" s="202"/>
      <c r="CI41" s="202"/>
    </row>
    <row r="42" spans="1:87" ht="15.75" customHeight="1">
      <c r="A42" s="40" t="s">
        <v>33</v>
      </c>
      <c r="B42" s="193"/>
      <c r="C42" s="81"/>
      <c r="D42" s="194"/>
      <c r="E42" s="199"/>
      <c r="F42" s="196"/>
      <c r="G42" s="197"/>
      <c r="H42" s="72"/>
      <c r="I42" s="72"/>
      <c r="J42" s="74"/>
      <c r="K42" s="200">
        <v>7541232014</v>
      </c>
      <c r="L42" s="74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4">
        <v>16887207969.999998</v>
      </c>
      <c r="X42" s="203">
        <v>12910282610</v>
      </c>
      <c r="Y42" s="202">
        <f t="shared" si="2"/>
        <v>3976925359.9999981</v>
      </c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02"/>
      <c r="AY42" s="202"/>
      <c r="AZ42" s="202"/>
      <c r="BA42" s="202"/>
      <c r="BB42" s="202"/>
      <c r="BC42" s="202"/>
      <c r="BD42" s="202"/>
      <c r="BE42" s="202"/>
      <c r="BF42" s="202"/>
      <c r="BG42" s="202"/>
      <c r="BH42" s="202"/>
      <c r="BI42" s="202"/>
      <c r="BJ42" s="202"/>
      <c r="BK42" s="202"/>
      <c r="BL42" s="202"/>
      <c r="BM42" s="202"/>
      <c r="BN42" s="202"/>
      <c r="BO42" s="202"/>
      <c r="BP42" s="202"/>
      <c r="BQ42" s="202"/>
      <c r="BR42" s="202"/>
      <c r="BS42" s="202"/>
      <c r="BT42" s="202"/>
      <c r="BU42" s="202"/>
      <c r="BV42" s="202"/>
      <c r="BW42" s="202"/>
      <c r="BX42" s="202"/>
      <c r="BY42" s="202"/>
      <c r="BZ42" s="202"/>
      <c r="CA42" s="202"/>
      <c r="CB42" s="202"/>
      <c r="CC42" s="202"/>
      <c r="CD42" s="202"/>
      <c r="CE42" s="202"/>
      <c r="CF42" s="202"/>
      <c r="CG42" s="202"/>
      <c r="CH42" s="202"/>
      <c r="CI42" s="202"/>
    </row>
    <row r="43" spans="1:87" ht="15.75" customHeight="1">
      <c r="A43" s="40" t="s">
        <v>34</v>
      </c>
      <c r="B43" s="193"/>
      <c r="C43" s="81"/>
      <c r="D43" s="194"/>
      <c r="E43" s="199"/>
      <c r="F43" s="196"/>
      <c r="G43" s="197"/>
      <c r="H43" s="72"/>
      <c r="I43" s="72"/>
      <c r="J43" s="74"/>
      <c r="K43" s="200">
        <v>8189682740</v>
      </c>
      <c r="L43" s="74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4">
        <v>19323744350</v>
      </c>
      <c r="X43" s="203">
        <v>15783114450</v>
      </c>
      <c r="Y43" s="202">
        <f t="shared" si="2"/>
        <v>3540629900</v>
      </c>
      <c r="Z43" s="202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  <c r="AS43" s="202"/>
      <c r="AT43" s="202"/>
      <c r="AU43" s="202"/>
      <c r="AV43" s="202"/>
      <c r="AW43" s="202"/>
      <c r="AX43" s="202"/>
      <c r="AY43" s="202"/>
      <c r="AZ43" s="202"/>
      <c r="BA43" s="202"/>
      <c r="BB43" s="202"/>
      <c r="BC43" s="202"/>
      <c r="BD43" s="202"/>
      <c r="BE43" s="202"/>
      <c r="BF43" s="202"/>
      <c r="BG43" s="202"/>
      <c r="BH43" s="202"/>
      <c r="BI43" s="202"/>
      <c r="BJ43" s="202"/>
      <c r="BK43" s="202"/>
      <c r="BL43" s="202"/>
      <c r="BM43" s="202"/>
      <c r="BN43" s="202"/>
      <c r="BO43" s="202"/>
      <c r="BP43" s="202"/>
      <c r="BQ43" s="202"/>
      <c r="BR43" s="202"/>
      <c r="BS43" s="202"/>
      <c r="BT43" s="202"/>
      <c r="BU43" s="202"/>
      <c r="BV43" s="202"/>
      <c r="BW43" s="202"/>
      <c r="BX43" s="202"/>
      <c r="BY43" s="202"/>
      <c r="BZ43" s="202"/>
      <c r="CA43" s="202"/>
      <c r="CB43" s="202"/>
      <c r="CC43" s="202"/>
      <c r="CD43" s="202"/>
      <c r="CE43" s="202"/>
      <c r="CF43" s="202"/>
      <c r="CG43" s="202"/>
      <c r="CH43" s="202"/>
      <c r="CI43" s="202"/>
    </row>
    <row r="44" spans="1:87" ht="15.75" customHeight="1">
      <c r="A44" s="40" t="s">
        <v>35</v>
      </c>
      <c r="B44" s="193"/>
      <c r="C44" s="81"/>
      <c r="D44" s="194"/>
      <c r="E44" s="199"/>
      <c r="F44" s="196"/>
      <c r="G44" s="197"/>
      <c r="H44" s="72"/>
      <c r="I44" s="72"/>
      <c r="J44" s="74"/>
      <c r="K44" s="200">
        <v>9568485017</v>
      </c>
      <c r="L44" s="74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4">
        <v>19544764240</v>
      </c>
      <c r="X44" s="203">
        <v>16672418749.999998</v>
      </c>
      <c r="Y44" s="202">
        <f t="shared" si="2"/>
        <v>2872345490.0000019</v>
      </c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2"/>
      <c r="AQ44" s="202"/>
      <c r="AR44" s="202"/>
      <c r="AS44" s="202"/>
      <c r="AT44" s="202"/>
      <c r="AU44" s="202"/>
      <c r="AV44" s="202"/>
      <c r="AW44" s="202"/>
      <c r="AX44" s="202"/>
      <c r="AY44" s="202"/>
      <c r="AZ44" s="202"/>
      <c r="BA44" s="202"/>
      <c r="BB44" s="202"/>
      <c r="BC44" s="202"/>
      <c r="BD44" s="202"/>
      <c r="BE44" s="202"/>
      <c r="BF44" s="202"/>
      <c r="BG44" s="202"/>
      <c r="BH44" s="202"/>
      <c r="BI44" s="202"/>
      <c r="BJ44" s="202"/>
      <c r="BK44" s="202"/>
      <c r="BL44" s="202"/>
      <c r="BM44" s="202"/>
      <c r="BN44" s="202"/>
      <c r="BO44" s="202"/>
      <c r="BP44" s="202"/>
      <c r="BQ44" s="202"/>
      <c r="BR44" s="202"/>
      <c r="BS44" s="202"/>
      <c r="BT44" s="202"/>
      <c r="BU44" s="202"/>
      <c r="BV44" s="202"/>
      <c r="BW44" s="202"/>
      <c r="BX44" s="202"/>
      <c r="BY44" s="202"/>
      <c r="BZ44" s="202"/>
      <c r="CA44" s="202"/>
      <c r="CB44" s="202"/>
      <c r="CC44" s="202"/>
      <c r="CD44" s="202"/>
      <c r="CE44" s="202"/>
      <c r="CF44" s="202"/>
      <c r="CG44" s="202"/>
      <c r="CH44" s="202"/>
      <c r="CI44" s="202"/>
    </row>
    <row r="45" spans="1:87" ht="15.75" customHeight="1">
      <c r="A45" s="40" t="s">
        <v>36</v>
      </c>
      <c r="B45" s="193"/>
      <c r="C45" s="81"/>
      <c r="D45" s="194"/>
      <c r="E45" s="199"/>
      <c r="F45" s="196"/>
      <c r="G45" s="197"/>
      <c r="H45" s="72"/>
      <c r="I45" s="72"/>
      <c r="J45" s="74"/>
      <c r="K45" s="200">
        <v>10227237940</v>
      </c>
      <c r="L45" s="74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4">
        <v>18831131730</v>
      </c>
      <c r="X45" s="203">
        <v>17181787060</v>
      </c>
      <c r="Y45" s="202">
        <f t="shared" si="2"/>
        <v>1649344670</v>
      </c>
      <c r="Z45" s="202"/>
      <c r="AA45" s="202"/>
      <c r="AB45" s="202"/>
      <c r="AC45" s="202"/>
      <c r="AD45" s="202"/>
      <c r="AE45" s="202"/>
      <c r="AF45" s="202"/>
      <c r="AG45" s="202"/>
      <c r="AH45" s="202"/>
      <c r="AI45" s="202"/>
      <c r="AJ45" s="202"/>
      <c r="AK45" s="202"/>
      <c r="AL45" s="202"/>
      <c r="AM45" s="202"/>
      <c r="AN45" s="202"/>
      <c r="AO45" s="202"/>
      <c r="AP45" s="202"/>
      <c r="AQ45" s="202"/>
      <c r="AR45" s="202"/>
      <c r="AS45" s="202"/>
      <c r="AT45" s="202"/>
      <c r="AU45" s="202"/>
      <c r="AV45" s="202"/>
      <c r="AW45" s="202"/>
      <c r="AX45" s="202"/>
      <c r="AY45" s="202"/>
      <c r="AZ45" s="202"/>
      <c r="BA45" s="202"/>
      <c r="BB45" s="202"/>
      <c r="BC45" s="202"/>
      <c r="BD45" s="202"/>
      <c r="BE45" s="202"/>
      <c r="BF45" s="202"/>
      <c r="BG45" s="202"/>
      <c r="BH45" s="202"/>
      <c r="BI45" s="202"/>
      <c r="BJ45" s="202"/>
      <c r="BK45" s="202"/>
      <c r="BL45" s="202"/>
      <c r="BM45" s="202"/>
      <c r="BN45" s="202"/>
      <c r="BO45" s="202"/>
      <c r="BP45" s="202"/>
      <c r="BQ45" s="202"/>
      <c r="BR45" s="202"/>
      <c r="BS45" s="202"/>
      <c r="BT45" s="202"/>
      <c r="BU45" s="202"/>
      <c r="BV45" s="202"/>
      <c r="BW45" s="202"/>
      <c r="BX45" s="202"/>
      <c r="BY45" s="202"/>
      <c r="BZ45" s="202"/>
      <c r="CA45" s="202"/>
      <c r="CB45" s="202"/>
      <c r="CC45" s="202"/>
      <c r="CD45" s="202"/>
      <c r="CE45" s="202"/>
      <c r="CF45" s="202"/>
      <c r="CG45" s="202"/>
      <c r="CH45" s="202"/>
      <c r="CI45" s="202"/>
    </row>
    <row r="46" spans="1:87" ht="15.75" customHeight="1">
      <c r="A46" s="40" t="s">
        <v>37</v>
      </c>
      <c r="B46" s="193"/>
      <c r="C46" s="81"/>
      <c r="D46" s="194"/>
      <c r="E46" s="199"/>
      <c r="F46" s="196"/>
      <c r="G46" s="197"/>
      <c r="H46" s="72"/>
      <c r="I46" s="72"/>
      <c r="J46" s="74"/>
      <c r="K46" s="200">
        <v>11223731650</v>
      </c>
      <c r="L46" s="74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4">
        <v>20061029170</v>
      </c>
      <c r="X46" s="203">
        <v>18331833300</v>
      </c>
      <c r="Y46" s="202">
        <f t="shared" si="2"/>
        <v>1729195870</v>
      </c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202"/>
      <c r="AV46" s="202"/>
      <c r="AW46" s="202"/>
      <c r="AX46" s="202"/>
      <c r="AY46" s="202"/>
      <c r="AZ46" s="202"/>
      <c r="BA46" s="202"/>
      <c r="BB46" s="202"/>
      <c r="BC46" s="202"/>
      <c r="BD46" s="202"/>
      <c r="BE46" s="202"/>
      <c r="BF46" s="202"/>
      <c r="BG46" s="202"/>
      <c r="BH46" s="202"/>
      <c r="BI46" s="202"/>
      <c r="BJ46" s="202"/>
      <c r="BK46" s="202"/>
      <c r="BL46" s="202"/>
      <c r="BM46" s="202"/>
      <c r="BN46" s="202"/>
      <c r="BO46" s="202"/>
      <c r="BP46" s="202"/>
      <c r="BQ46" s="202"/>
      <c r="BR46" s="202"/>
      <c r="BS46" s="202"/>
      <c r="BT46" s="202"/>
      <c r="BU46" s="202"/>
      <c r="BV46" s="202"/>
      <c r="BW46" s="202"/>
      <c r="BX46" s="202"/>
      <c r="BY46" s="202"/>
      <c r="BZ46" s="202"/>
      <c r="CA46" s="202"/>
      <c r="CB46" s="202"/>
      <c r="CC46" s="202"/>
      <c r="CD46" s="202"/>
      <c r="CE46" s="202"/>
      <c r="CF46" s="202"/>
      <c r="CG46" s="202"/>
      <c r="CH46" s="202"/>
      <c r="CI46" s="202"/>
    </row>
    <row r="47" spans="1:87" ht="15.75" customHeight="1">
      <c r="A47" s="40" t="s">
        <v>38</v>
      </c>
      <c r="B47" s="193"/>
      <c r="C47" s="81"/>
      <c r="D47" s="194"/>
      <c r="E47" s="199"/>
      <c r="F47" s="196"/>
      <c r="G47" s="197"/>
      <c r="H47" s="72"/>
      <c r="I47" s="72"/>
      <c r="J47" s="74"/>
      <c r="K47" s="200">
        <v>11869584770</v>
      </c>
      <c r="L47" s="74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4">
        <v>26008919080</v>
      </c>
      <c r="X47" s="203">
        <v>22847084040</v>
      </c>
      <c r="Y47" s="202">
        <f t="shared" si="2"/>
        <v>3161835040</v>
      </c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2"/>
      <c r="BH47" s="202"/>
      <c r="BI47" s="202"/>
      <c r="BJ47" s="202"/>
      <c r="BK47" s="202"/>
      <c r="BL47" s="202"/>
      <c r="BM47" s="202"/>
      <c r="BN47" s="202"/>
      <c r="BO47" s="202"/>
      <c r="BP47" s="202"/>
      <c r="BQ47" s="202"/>
      <c r="BR47" s="202"/>
      <c r="BS47" s="202"/>
      <c r="BT47" s="202"/>
      <c r="BU47" s="202"/>
      <c r="BV47" s="202"/>
      <c r="BW47" s="202"/>
      <c r="BX47" s="202"/>
      <c r="BY47" s="202"/>
      <c r="BZ47" s="202"/>
      <c r="CA47" s="202"/>
      <c r="CB47" s="202"/>
      <c r="CC47" s="202"/>
      <c r="CD47" s="202"/>
      <c r="CE47" s="202"/>
      <c r="CF47" s="202"/>
      <c r="CG47" s="202"/>
      <c r="CH47" s="202"/>
      <c r="CI47" s="202"/>
    </row>
    <row r="48" spans="1:87" ht="15.75" customHeight="1">
      <c r="A48" s="40" t="s">
        <v>39</v>
      </c>
      <c r="B48" s="193"/>
      <c r="C48" s="81"/>
      <c r="D48" s="194"/>
      <c r="E48" s="199"/>
      <c r="F48" s="196"/>
      <c r="G48" s="197"/>
      <c r="H48" s="72"/>
      <c r="I48" s="72"/>
      <c r="J48" s="74"/>
      <c r="K48" s="200">
        <v>13158630590</v>
      </c>
      <c r="L48" s="74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4">
        <v>26006978020</v>
      </c>
      <c r="X48" s="203">
        <v>24480115560</v>
      </c>
      <c r="Y48" s="202">
        <f t="shared" si="2"/>
        <v>1526862460</v>
      </c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  <c r="AT48" s="202"/>
      <c r="AU48" s="202"/>
      <c r="AV48" s="202"/>
      <c r="AW48" s="202"/>
      <c r="AX48" s="202"/>
      <c r="AY48" s="202"/>
      <c r="AZ48" s="202"/>
      <c r="BA48" s="202"/>
      <c r="BB48" s="202"/>
      <c r="BC48" s="202"/>
      <c r="BD48" s="202"/>
      <c r="BE48" s="202"/>
      <c r="BF48" s="202"/>
      <c r="BG48" s="202"/>
      <c r="BH48" s="202"/>
      <c r="BI48" s="202"/>
      <c r="BJ48" s="202"/>
      <c r="BK48" s="202"/>
      <c r="BL48" s="202"/>
      <c r="BM48" s="202"/>
      <c r="BN48" s="202"/>
      <c r="BO48" s="202"/>
      <c r="BP48" s="202"/>
      <c r="BQ48" s="202"/>
      <c r="BR48" s="202"/>
      <c r="BS48" s="202"/>
      <c r="BT48" s="202"/>
      <c r="BU48" s="202"/>
      <c r="BV48" s="202"/>
      <c r="BW48" s="202"/>
      <c r="BX48" s="202"/>
      <c r="BY48" s="202"/>
      <c r="BZ48" s="202"/>
      <c r="CA48" s="202"/>
      <c r="CB48" s="202"/>
      <c r="CC48" s="202"/>
      <c r="CD48" s="202"/>
      <c r="CE48" s="202"/>
      <c r="CF48" s="202"/>
      <c r="CG48" s="202"/>
      <c r="CH48" s="202"/>
      <c r="CI48" s="202"/>
    </row>
    <row r="49" spans="1:87" ht="15.75" customHeight="1">
      <c r="A49" s="40" t="s">
        <v>40</v>
      </c>
      <c r="B49" s="193"/>
      <c r="C49" s="81"/>
      <c r="D49" s="194"/>
      <c r="E49" s="199"/>
      <c r="F49" s="196"/>
      <c r="G49" s="197"/>
      <c r="H49" s="72"/>
      <c r="I49" s="72"/>
      <c r="J49" s="74"/>
      <c r="K49" s="200">
        <v>13749134910</v>
      </c>
      <c r="L49" s="74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4">
        <v>27459732160</v>
      </c>
      <c r="X49" s="203">
        <v>28132908200</v>
      </c>
      <c r="Y49" s="202">
        <f t="shared" si="2"/>
        <v>-673176040</v>
      </c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2"/>
      <c r="AK49" s="202"/>
      <c r="AL49" s="202"/>
      <c r="AM49" s="202"/>
      <c r="AN49" s="202"/>
      <c r="AO49" s="202"/>
      <c r="AP49" s="202"/>
      <c r="AQ49" s="202"/>
      <c r="AR49" s="202"/>
      <c r="AS49" s="202"/>
      <c r="AT49" s="202"/>
      <c r="AU49" s="202"/>
      <c r="AV49" s="202"/>
      <c r="AW49" s="202"/>
      <c r="AX49" s="202"/>
      <c r="AY49" s="202"/>
      <c r="AZ49" s="202"/>
      <c r="BA49" s="202"/>
      <c r="BB49" s="202"/>
      <c r="BC49" s="202"/>
      <c r="BD49" s="202"/>
      <c r="BE49" s="202"/>
      <c r="BF49" s="202"/>
      <c r="BG49" s="202"/>
      <c r="BH49" s="202"/>
      <c r="BI49" s="202"/>
      <c r="BJ49" s="202"/>
      <c r="BK49" s="202"/>
      <c r="BL49" s="202"/>
      <c r="BM49" s="202"/>
      <c r="BN49" s="202"/>
      <c r="BO49" s="202"/>
      <c r="BP49" s="202"/>
      <c r="BQ49" s="202"/>
      <c r="BR49" s="202"/>
      <c r="BS49" s="202"/>
      <c r="BT49" s="202"/>
      <c r="BU49" s="202"/>
      <c r="BV49" s="202"/>
      <c r="BW49" s="202"/>
      <c r="BX49" s="202"/>
      <c r="BY49" s="202"/>
      <c r="BZ49" s="202"/>
      <c r="CA49" s="202"/>
      <c r="CB49" s="202"/>
      <c r="CC49" s="202"/>
      <c r="CD49" s="202"/>
      <c r="CE49" s="202"/>
      <c r="CF49" s="202"/>
      <c r="CG49" s="202"/>
      <c r="CH49" s="202"/>
      <c r="CI49" s="202"/>
    </row>
    <row r="50" spans="1:87" ht="15.75" customHeight="1">
      <c r="A50" s="40" t="s">
        <v>41</v>
      </c>
      <c r="B50" s="193"/>
      <c r="C50" s="81"/>
      <c r="D50" s="194"/>
      <c r="E50" s="199"/>
      <c r="F50" s="196"/>
      <c r="G50" s="197"/>
      <c r="H50" s="72"/>
      <c r="I50" s="72"/>
      <c r="J50" s="74"/>
      <c r="K50" s="200">
        <v>14610993640</v>
      </c>
      <c r="L50" s="74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4">
        <v>25279858200</v>
      </c>
      <c r="X50" s="203">
        <v>25332292710</v>
      </c>
      <c r="Y50" s="202">
        <f t="shared" si="2"/>
        <v>-52434510</v>
      </c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2"/>
      <c r="AK50" s="202"/>
      <c r="AL50" s="202"/>
      <c r="AM50" s="202"/>
      <c r="AN50" s="202"/>
      <c r="AO50" s="202"/>
      <c r="AP50" s="202"/>
      <c r="AQ50" s="202"/>
      <c r="AR50" s="202"/>
      <c r="AS50" s="202"/>
      <c r="AT50" s="202"/>
      <c r="AU50" s="202"/>
      <c r="AV50" s="202"/>
      <c r="AW50" s="202"/>
      <c r="AX50" s="202"/>
      <c r="AY50" s="202"/>
      <c r="AZ50" s="202"/>
      <c r="BA50" s="202"/>
      <c r="BB50" s="202"/>
      <c r="BC50" s="202"/>
      <c r="BD50" s="202"/>
      <c r="BE50" s="202"/>
      <c r="BF50" s="202"/>
      <c r="BG50" s="202"/>
      <c r="BH50" s="202"/>
      <c r="BI50" s="202"/>
      <c r="BJ50" s="202"/>
      <c r="BK50" s="202"/>
      <c r="BL50" s="202"/>
      <c r="BM50" s="202"/>
      <c r="BN50" s="202"/>
      <c r="BO50" s="202"/>
      <c r="BP50" s="202"/>
      <c r="BQ50" s="202"/>
      <c r="BR50" s="202"/>
      <c r="BS50" s="202"/>
      <c r="BT50" s="202"/>
      <c r="BU50" s="202"/>
      <c r="BV50" s="202"/>
      <c r="BW50" s="202"/>
      <c r="BX50" s="202"/>
      <c r="BY50" s="202"/>
      <c r="BZ50" s="202"/>
      <c r="CA50" s="202"/>
      <c r="CB50" s="202"/>
      <c r="CC50" s="202"/>
      <c r="CD50" s="202"/>
      <c r="CE50" s="202"/>
      <c r="CF50" s="202"/>
      <c r="CG50" s="202"/>
      <c r="CH50" s="202"/>
      <c r="CI50" s="202"/>
    </row>
    <row r="51" spans="1:87" ht="15.75" customHeight="1">
      <c r="A51" s="40" t="s">
        <v>42</v>
      </c>
      <c r="B51" s="193"/>
      <c r="C51" s="81"/>
      <c r="D51" s="194"/>
      <c r="E51" s="199"/>
      <c r="F51" s="196"/>
      <c r="G51" s="197"/>
      <c r="H51" s="72"/>
      <c r="I51" s="72"/>
      <c r="J51" s="74"/>
      <c r="K51" s="200">
        <v>15764751070</v>
      </c>
      <c r="L51" s="74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4">
        <v>27413213110</v>
      </c>
      <c r="X51" s="203">
        <v>26294280580</v>
      </c>
      <c r="Y51" s="202">
        <f t="shared" si="2"/>
        <v>1118932530</v>
      </c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2"/>
      <c r="AK51" s="202"/>
      <c r="AL51" s="202"/>
      <c r="AM51" s="202"/>
      <c r="AN51" s="202"/>
      <c r="AO51" s="202"/>
      <c r="AP51" s="202"/>
      <c r="AQ51" s="202"/>
      <c r="AR51" s="202"/>
      <c r="AS51" s="202"/>
      <c r="AT51" s="202"/>
      <c r="AU51" s="202"/>
      <c r="AV51" s="202"/>
      <c r="AW51" s="202"/>
      <c r="AX51" s="202"/>
      <c r="AY51" s="202"/>
      <c r="AZ51" s="202"/>
      <c r="BA51" s="202"/>
      <c r="BB51" s="202"/>
      <c r="BC51" s="202"/>
      <c r="BD51" s="202"/>
      <c r="BE51" s="202"/>
      <c r="BF51" s="202"/>
      <c r="BG51" s="202"/>
      <c r="BH51" s="202"/>
      <c r="BI51" s="202"/>
      <c r="BJ51" s="202"/>
      <c r="BK51" s="202"/>
      <c r="BL51" s="202"/>
      <c r="BM51" s="202"/>
      <c r="BN51" s="202"/>
      <c r="BO51" s="202"/>
      <c r="BP51" s="202"/>
      <c r="BQ51" s="202"/>
      <c r="BR51" s="202"/>
      <c r="BS51" s="202"/>
      <c r="BT51" s="202"/>
      <c r="BU51" s="202"/>
      <c r="BV51" s="202"/>
      <c r="BW51" s="202"/>
      <c r="BX51" s="202"/>
      <c r="BY51" s="202"/>
      <c r="BZ51" s="202"/>
      <c r="CA51" s="202"/>
      <c r="CB51" s="202"/>
      <c r="CC51" s="202"/>
      <c r="CD51" s="202"/>
      <c r="CE51" s="202"/>
      <c r="CF51" s="202"/>
      <c r="CG51" s="202"/>
      <c r="CH51" s="202"/>
      <c r="CI51" s="202"/>
    </row>
    <row r="52" spans="1:87" ht="15.75" customHeight="1">
      <c r="A52" s="40" t="s">
        <v>43</v>
      </c>
      <c r="B52" s="193"/>
      <c r="C52" s="81"/>
      <c r="D52" s="194"/>
      <c r="E52" s="199"/>
      <c r="F52" s="196"/>
      <c r="G52" s="197"/>
      <c r="H52" s="72"/>
      <c r="I52" s="72"/>
      <c r="J52" s="74"/>
      <c r="K52" s="200">
        <v>15323524600</v>
      </c>
      <c r="L52" s="74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4">
        <v>28475875140</v>
      </c>
      <c r="X52" s="203">
        <v>29873704010</v>
      </c>
      <c r="Y52" s="202">
        <f t="shared" si="2"/>
        <v>-1397828870</v>
      </c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/>
      <c r="AN52" s="202"/>
      <c r="AO52" s="202"/>
      <c r="AP52" s="202"/>
      <c r="AQ52" s="202"/>
      <c r="AR52" s="202"/>
      <c r="AS52" s="202"/>
      <c r="AT52" s="202"/>
      <c r="AU52" s="202"/>
      <c r="AV52" s="202"/>
      <c r="AW52" s="202"/>
      <c r="AX52" s="202"/>
      <c r="AY52" s="202"/>
      <c r="AZ52" s="202"/>
      <c r="BA52" s="202"/>
      <c r="BB52" s="202"/>
      <c r="BC52" s="202"/>
      <c r="BD52" s="202"/>
      <c r="BE52" s="202"/>
      <c r="BF52" s="202"/>
      <c r="BG52" s="202"/>
      <c r="BH52" s="202"/>
      <c r="BI52" s="202"/>
      <c r="BJ52" s="202"/>
      <c r="BK52" s="202"/>
      <c r="BL52" s="202"/>
      <c r="BM52" s="202"/>
      <c r="BN52" s="202"/>
      <c r="BO52" s="202"/>
      <c r="BP52" s="202"/>
      <c r="BQ52" s="202"/>
      <c r="BR52" s="202"/>
      <c r="BS52" s="202"/>
      <c r="BT52" s="202"/>
      <c r="BU52" s="202"/>
      <c r="BV52" s="202"/>
      <c r="BW52" s="202"/>
      <c r="BX52" s="202"/>
      <c r="BY52" s="202"/>
      <c r="BZ52" s="202"/>
      <c r="CA52" s="202"/>
      <c r="CB52" s="202"/>
      <c r="CC52" s="202"/>
      <c r="CD52" s="202"/>
      <c r="CE52" s="202"/>
      <c r="CF52" s="202"/>
      <c r="CG52" s="202"/>
      <c r="CH52" s="202"/>
      <c r="CI52" s="202"/>
    </row>
    <row r="53" spans="1:87" ht="15.75" customHeight="1">
      <c r="A53" s="40" t="s">
        <v>44</v>
      </c>
      <c r="B53" s="193"/>
      <c r="C53" s="81"/>
      <c r="D53" s="194"/>
      <c r="E53" s="199"/>
      <c r="F53" s="196"/>
      <c r="G53" s="197"/>
      <c r="H53" s="72"/>
      <c r="I53" s="72"/>
      <c r="J53" s="74"/>
      <c r="K53" s="200">
        <v>16964065699.999998</v>
      </c>
      <c r="L53" s="74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4">
        <v>29249381260</v>
      </c>
      <c r="X53" s="203">
        <v>33007242410.000004</v>
      </c>
      <c r="Y53" s="202">
        <f t="shared" si="2"/>
        <v>-3757861150.0000038</v>
      </c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2"/>
      <c r="AK53" s="202"/>
      <c r="AL53" s="202"/>
      <c r="AM53" s="202"/>
      <c r="AN53" s="202"/>
      <c r="AO53" s="202"/>
      <c r="AP53" s="202"/>
      <c r="AQ53" s="202"/>
      <c r="AR53" s="202"/>
      <c r="AS53" s="202"/>
      <c r="AT53" s="202"/>
      <c r="AU53" s="202"/>
      <c r="AV53" s="202"/>
      <c r="AW53" s="202"/>
      <c r="AX53" s="202"/>
      <c r="AY53" s="202"/>
      <c r="AZ53" s="202"/>
      <c r="BA53" s="202"/>
      <c r="BB53" s="202"/>
      <c r="BC53" s="202"/>
      <c r="BD53" s="202"/>
      <c r="BE53" s="202"/>
      <c r="BF53" s="202"/>
      <c r="BG53" s="202"/>
      <c r="BH53" s="202"/>
      <c r="BI53" s="202"/>
      <c r="BJ53" s="202"/>
      <c r="BK53" s="202"/>
      <c r="BL53" s="202"/>
      <c r="BM53" s="202"/>
      <c r="BN53" s="202"/>
      <c r="BO53" s="202"/>
      <c r="BP53" s="202"/>
      <c r="BQ53" s="202"/>
      <c r="BR53" s="202"/>
      <c r="BS53" s="202"/>
      <c r="BT53" s="202"/>
      <c r="BU53" s="202"/>
      <c r="BV53" s="202"/>
      <c r="BW53" s="202"/>
      <c r="BX53" s="202"/>
      <c r="BY53" s="202"/>
      <c r="BZ53" s="202"/>
      <c r="CA53" s="202"/>
      <c r="CB53" s="202"/>
      <c r="CC53" s="202"/>
      <c r="CD53" s="202"/>
      <c r="CE53" s="202"/>
      <c r="CF53" s="202"/>
      <c r="CG53" s="202"/>
      <c r="CH53" s="202"/>
      <c r="CI53" s="202"/>
    </row>
    <row r="54" spans="1:87" ht="15.75" customHeight="1">
      <c r="A54" s="40" t="s">
        <v>45</v>
      </c>
      <c r="B54" s="193"/>
      <c r="C54" s="81"/>
      <c r="D54" s="194"/>
      <c r="E54" s="199"/>
      <c r="F54" s="196"/>
      <c r="G54" s="197"/>
      <c r="H54" s="72"/>
      <c r="I54" s="72"/>
      <c r="J54" s="74"/>
      <c r="K54" s="200">
        <v>16820360600</v>
      </c>
      <c r="L54" s="74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4">
        <v>34068151680</v>
      </c>
      <c r="X54" s="203">
        <v>35801853430</v>
      </c>
      <c r="Y54" s="202">
        <f t="shared" si="2"/>
        <v>-1733701750</v>
      </c>
      <c r="Z54" s="202"/>
      <c r="AA54" s="202"/>
      <c r="AB54" s="202"/>
      <c r="AC54" s="202"/>
      <c r="AD54" s="202"/>
      <c r="AE54" s="202"/>
      <c r="AF54" s="202"/>
      <c r="AG54" s="202"/>
      <c r="AH54" s="202"/>
      <c r="AI54" s="202"/>
      <c r="AJ54" s="202"/>
      <c r="AK54" s="202"/>
      <c r="AL54" s="202"/>
      <c r="AM54" s="202"/>
      <c r="AN54" s="202"/>
      <c r="AO54" s="202"/>
      <c r="AP54" s="202"/>
      <c r="AQ54" s="202"/>
      <c r="AR54" s="202"/>
      <c r="AS54" s="202"/>
      <c r="AT54" s="202"/>
      <c r="AU54" s="202"/>
      <c r="AV54" s="202"/>
      <c r="AW54" s="202"/>
      <c r="AX54" s="202"/>
      <c r="AY54" s="202"/>
      <c r="AZ54" s="202"/>
      <c r="BA54" s="202"/>
      <c r="BB54" s="202"/>
      <c r="BC54" s="202"/>
      <c r="BD54" s="202"/>
      <c r="BE54" s="202"/>
      <c r="BF54" s="202"/>
      <c r="BG54" s="202"/>
      <c r="BH54" s="202"/>
      <c r="BI54" s="202"/>
      <c r="BJ54" s="202"/>
      <c r="BK54" s="202"/>
      <c r="BL54" s="202"/>
      <c r="BM54" s="202"/>
      <c r="BN54" s="202"/>
      <c r="BO54" s="202"/>
      <c r="BP54" s="202"/>
      <c r="BQ54" s="202"/>
      <c r="BR54" s="202"/>
      <c r="BS54" s="202"/>
      <c r="BT54" s="202"/>
      <c r="BU54" s="202"/>
      <c r="BV54" s="202"/>
      <c r="BW54" s="202"/>
      <c r="BX54" s="202"/>
      <c r="BY54" s="202"/>
      <c r="BZ54" s="202"/>
      <c r="CA54" s="202"/>
      <c r="CB54" s="202"/>
      <c r="CC54" s="202"/>
      <c r="CD54" s="202"/>
      <c r="CE54" s="202"/>
      <c r="CF54" s="202"/>
      <c r="CG54" s="202"/>
      <c r="CH54" s="202"/>
      <c r="CI54" s="202"/>
    </row>
    <row r="55" spans="1:87" ht="15.75" customHeight="1">
      <c r="A55" s="40" t="s">
        <v>46</v>
      </c>
      <c r="B55" s="193"/>
      <c r="C55" s="81"/>
      <c r="D55" s="194"/>
      <c r="E55" s="199"/>
      <c r="F55" s="196"/>
      <c r="G55" s="197"/>
      <c r="H55" s="72"/>
      <c r="I55" s="72"/>
      <c r="J55" s="74"/>
      <c r="K55" s="200">
        <v>17684051010</v>
      </c>
      <c r="L55" s="74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4">
        <v>36464922880</v>
      </c>
      <c r="X55" s="203">
        <v>37702966860</v>
      </c>
      <c r="Y55" s="202">
        <f t="shared" si="2"/>
        <v>-1238043980</v>
      </c>
      <c r="Z55" s="202"/>
      <c r="AA55" s="202"/>
      <c r="AB55" s="202"/>
      <c r="AC55" s="202"/>
      <c r="AD55" s="202"/>
      <c r="AE55" s="202"/>
      <c r="AF55" s="202"/>
      <c r="AG55" s="202"/>
      <c r="AH55" s="202"/>
      <c r="AI55" s="202"/>
      <c r="AJ55" s="202"/>
      <c r="AK55" s="202"/>
      <c r="AL55" s="202"/>
      <c r="AM55" s="202"/>
      <c r="AN55" s="202"/>
      <c r="AO55" s="202"/>
      <c r="AP55" s="202"/>
      <c r="AQ55" s="202"/>
      <c r="AR55" s="202"/>
      <c r="AS55" s="202"/>
      <c r="AT55" s="202"/>
      <c r="AU55" s="202"/>
      <c r="AV55" s="202"/>
      <c r="AW55" s="202"/>
      <c r="AX55" s="202"/>
      <c r="AY55" s="202"/>
      <c r="AZ55" s="202"/>
      <c r="BA55" s="202"/>
      <c r="BB55" s="202"/>
      <c r="BC55" s="202"/>
      <c r="BD55" s="202"/>
      <c r="BE55" s="202"/>
      <c r="BF55" s="202"/>
      <c r="BG55" s="202"/>
      <c r="BH55" s="202"/>
      <c r="BI55" s="202"/>
      <c r="BJ55" s="202"/>
      <c r="BK55" s="202"/>
      <c r="BL55" s="202"/>
      <c r="BM55" s="202"/>
      <c r="BN55" s="202"/>
      <c r="BO55" s="202"/>
      <c r="BP55" s="202"/>
      <c r="BQ55" s="202"/>
      <c r="BR55" s="202"/>
      <c r="BS55" s="202"/>
      <c r="BT55" s="202"/>
      <c r="BU55" s="202"/>
      <c r="BV55" s="202"/>
      <c r="BW55" s="202"/>
      <c r="BX55" s="202"/>
      <c r="BY55" s="202"/>
      <c r="BZ55" s="202"/>
      <c r="CA55" s="202"/>
      <c r="CB55" s="202"/>
      <c r="CC55" s="202"/>
      <c r="CD55" s="202"/>
      <c r="CE55" s="202"/>
      <c r="CF55" s="202"/>
      <c r="CG55" s="202"/>
      <c r="CH55" s="202"/>
      <c r="CI55" s="202"/>
    </row>
    <row r="56" spans="1:87" ht="15.75" customHeight="1">
      <c r="A56" s="40" t="s">
        <v>47</v>
      </c>
      <c r="B56" s="193"/>
      <c r="C56" s="81"/>
      <c r="D56" s="194"/>
      <c r="E56" s="199"/>
      <c r="F56" s="196"/>
      <c r="G56" s="197"/>
      <c r="H56" s="72"/>
      <c r="I56" s="72"/>
      <c r="J56" s="74"/>
      <c r="K56" s="200">
        <v>20311013630</v>
      </c>
      <c r="L56" s="74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4">
        <v>37915079520</v>
      </c>
      <c r="X56" s="203">
        <v>40373166160</v>
      </c>
      <c r="Y56" s="202">
        <f t="shared" si="2"/>
        <v>-2458086640</v>
      </c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  <c r="AK56" s="202"/>
      <c r="AL56" s="202"/>
      <c r="AM56" s="202"/>
      <c r="AN56" s="202"/>
      <c r="AO56" s="202"/>
      <c r="AP56" s="202"/>
      <c r="AQ56" s="202"/>
      <c r="AR56" s="202"/>
      <c r="AS56" s="202"/>
      <c r="AT56" s="202"/>
      <c r="AU56" s="202"/>
      <c r="AV56" s="202"/>
      <c r="AW56" s="202"/>
      <c r="AX56" s="202"/>
      <c r="AY56" s="202"/>
      <c r="AZ56" s="202"/>
      <c r="BA56" s="202"/>
      <c r="BB56" s="202"/>
      <c r="BC56" s="202"/>
      <c r="BD56" s="202"/>
      <c r="BE56" s="202"/>
      <c r="BF56" s="202"/>
      <c r="BG56" s="202"/>
      <c r="BH56" s="202"/>
      <c r="BI56" s="202"/>
      <c r="BJ56" s="202"/>
      <c r="BK56" s="202"/>
      <c r="BL56" s="202"/>
      <c r="BM56" s="202"/>
      <c r="BN56" s="202"/>
      <c r="BO56" s="202"/>
      <c r="BP56" s="202"/>
      <c r="BQ56" s="202"/>
      <c r="BR56" s="202"/>
      <c r="BS56" s="202"/>
      <c r="BT56" s="202"/>
      <c r="BU56" s="202"/>
      <c r="BV56" s="202"/>
      <c r="BW56" s="202"/>
      <c r="BX56" s="202"/>
      <c r="BY56" s="202"/>
      <c r="BZ56" s="202"/>
      <c r="CA56" s="202"/>
      <c r="CB56" s="202"/>
      <c r="CC56" s="202"/>
      <c r="CD56" s="202"/>
      <c r="CE56" s="202"/>
      <c r="CF56" s="202"/>
      <c r="CG56" s="202"/>
      <c r="CH56" s="202"/>
      <c r="CI56" s="202"/>
    </row>
    <row r="57" spans="1:87" ht="15.75" customHeight="1">
      <c r="A57" s="40" t="s">
        <v>48</v>
      </c>
      <c r="B57" s="193"/>
      <c r="C57" s="81"/>
      <c r="D57" s="194"/>
      <c r="E57" s="199"/>
      <c r="F57" s="196"/>
      <c r="G57" s="197"/>
      <c r="H57" s="72"/>
      <c r="I57" s="72"/>
      <c r="J57" s="74"/>
      <c r="K57" s="200">
        <v>19495424660</v>
      </c>
      <c r="L57" s="74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4">
        <v>36561250130</v>
      </c>
      <c r="X57" s="203">
        <v>39974896840</v>
      </c>
      <c r="Y57" s="202">
        <f t="shared" si="2"/>
        <v>-3413646710</v>
      </c>
      <c r="Z57" s="202"/>
      <c r="AA57" s="202"/>
      <c r="AB57" s="202"/>
      <c r="AC57" s="202"/>
      <c r="AD57" s="202"/>
      <c r="AE57" s="202"/>
      <c r="AF57" s="202"/>
      <c r="AG57" s="202"/>
      <c r="AH57" s="202"/>
      <c r="AI57" s="202"/>
      <c r="AJ57" s="202"/>
      <c r="AK57" s="202"/>
      <c r="AL57" s="202"/>
      <c r="AM57" s="202"/>
      <c r="AN57" s="202"/>
      <c r="AO57" s="202"/>
      <c r="AP57" s="202"/>
      <c r="AQ57" s="202"/>
      <c r="AR57" s="202"/>
      <c r="AS57" s="202"/>
      <c r="AT57" s="202"/>
      <c r="AU57" s="202"/>
      <c r="AV57" s="202"/>
      <c r="AW57" s="202"/>
      <c r="AX57" s="202"/>
      <c r="AY57" s="202"/>
      <c r="AZ57" s="202"/>
      <c r="BA57" s="202"/>
      <c r="BB57" s="202"/>
      <c r="BC57" s="202"/>
      <c r="BD57" s="202"/>
      <c r="BE57" s="202"/>
      <c r="BF57" s="202"/>
      <c r="BG57" s="202"/>
      <c r="BH57" s="202"/>
      <c r="BI57" s="202"/>
      <c r="BJ57" s="202"/>
      <c r="BK57" s="202"/>
      <c r="BL57" s="202"/>
      <c r="BM57" s="202"/>
      <c r="BN57" s="202"/>
      <c r="BO57" s="202"/>
      <c r="BP57" s="202"/>
      <c r="BQ57" s="202"/>
      <c r="BR57" s="202"/>
      <c r="BS57" s="202"/>
      <c r="BT57" s="202"/>
      <c r="BU57" s="202"/>
      <c r="BV57" s="202"/>
      <c r="BW57" s="202"/>
      <c r="BX57" s="202"/>
      <c r="BY57" s="202"/>
      <c r="BZ57" s="202"/>
      <c r="CA57" s="202"/>
      <c r="CB57" s="202"/>
      <c r="CC57" s="202"/>
      <c r="CD57" s="202"/>
      <c r="CE57" s="202"/>
      <c r="CF57" s="202"/>
      <c r="CG57" s="202"/>
      <c r="CH57" s="202"/>
      <c r="CI57" s="202"/>
    </row>
    <row r="58" spans="1:87" ht="15.75" customHeight="1">
      <c r="A58" s="40" t="s">
        <v>49</v>
      </c>
      <c r="B58" s="193"/>
      <c r="C58" s="81"/>
      <c r="D58" s="194"/>
      <c r="E58" s="199"/>
      <c r="F58" s="196"/>
      <c r="G58" s="197"/>
      <c r="H58" s="72"/>
      <c r="I58" s="72"/>
      <c r="J58" s="74"/>
      <c r="K58" s="200">
        <v>19322784870</v>
      </c>
      <c r="L58" s="74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4">
        <v>36809227000</v>
      </c>
      <c r="X58" s="203">
        <v>40201285510</v>
      </c>
      <c r="Y58" s="202">
        <f t="shared" si="2"/>
        <v>-3392058510</v>
      </c>
      <c r="Z58" s="202"/>
      <c r="AA58" s="202"/>
      <c r="AB58" s="202"/>
      <c r="AC58" s="202"/>
      <c r="AD58" s="202"/>
      <c r="AE58" s="202"/>
      <c r="AF58" s="202"/>
      <c r="AG58" s="202"/>
      <c r="AH58" s="202"/>
      <c r="AI58" s="202"/>
      <c r="AJ58" s="202"/>
      <c r="AK58" s="202"/>
      <c r="AL58" s="202"/>
      <c r="AM58" s="202"/>
      <c r="AN58" s="202"/>
      <c r="AO58" s="202"/>
      <c r="AP58" s="202"/>
      <c r="AQ58" s="202"/>
      <c r="AR58" s="202"/>
      <c r="AS58" s="202"/>
      <c r="AT58" s="202"/>
      <c r="AU58" s="202"/>
      <c r="AV58" s="202"/>
      <c r="AW58" s="202"/>
      <c r="AX58" s="202"/>
      <c r="AY58" s="202"/>
      <c r="AZ58" s="202"/>
      <c r="BA58" s="202"/>
      <c r="BB58" s="202"/>
      <c r="BC58" s="202"/>
      <c r="BD58" s="202"/>
      <c r="BE58" s="202"/>
      <c r="BF58" s="202"/>
      <c r="BG58" s="202"/>
      <c r="BH58" s="202"/>
      <c r="BI58" s="202"/>
      <c r="BJ58" s="202"/>
      <c r="BK58" s="202"/>
      <c r="BL58" s="202"/>
      <c r="BM58" s="202"/>
      <c r="BN58" s="202"/>
      <c r="BO58" s="202"/>
      <c r="BP58" s="202"/>
      <c r="BQ58" s="202"/>
      <c r="BR58" s="202"/>
      <c r="BS58" s="202"/>
      <c r="BT58" s="202"/>
      <c r="BU58" s="202"/>
      <c r="BV58" s="202"/>
      <c r="BW58" s="202"/>
      <c r="BX58" s="202"/>
      <c r="BY58" s="202"/>
      <c r="BZ58" s="202"/>
      <c r="CA58" s="202"/>
      <c r="CB58" s="202"/>
      <c r="CC58" s="202"/>
      <c r="CD58" s="202"/>
      <c r="CE58" s="202"/>
      <c r="CF58" s="202"/>
      <c r="CG58" s="202"/>
      <c r="CH58" s="202"/>
      <c r="CI58" s="202"/>
    </row>
    <row r="59" spans="1:87" ht="15.75" customHeight="1">
      <c r="A59" s="40" t="s">
        <v>50</v>
      </c>
      <c r="B59" s="193"/>
      <c r="C59" s="81"/>
      <c r="D59" s="194"/>
      <c r="E59" s="199"/>
      <c r="F59" s="196"/>
      <c r="G59" s="197"/>
      <c r="H59" s="72"/>
      <c r="I59" s="72"/>
      <c r="J59" s="74"/>
      <c r="K59" s="200">
        <v>21383318000</v>
      </c>
      <c r="L59" s="74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4">
        <v>37182138720</v>
      </c>
      <c r="X59" s="203">
        <v>41053230770</v>
      </c>
      <c r="Y59" s="202">
        <f t="shared" si="2"/>
        <v>-3871092050</v>
      </c>
      <c r="Z59" s="202"/>
      <c r="AA59" s="202"/>
      <c r="AB59" s="202"/>
      <c r="AC59" s="202"/>
      <c r="AD59" s="202"/>
      <c r="AE59" s="202"/>
      <c r="AF59" s="202"/>
      <c r="AG59" s="202"/>
      <c r="AH59" s="202"/>
      <c r="AI59" s="202"/>
      <c r="AJ59" s="202"/>
      <c r="AK59" s="202"/>
      <c r="AL59" s="202"/>
      <c r="AM59" s="202"/>
      <c r="AN59" s="202"/>
      <c r="AO59" s="202"/>
      <c r="AP59" s="202"/>
      <c r="AQ59" s="202"/>
      <c r="AR59" s="202"/>
      <c r="AS59" s="202"/>
      <c r="AT59" s="202"/>
      <c r="AU59" s="202"/>
      <c r="AV59" s="202"/>
      <c r="AW59" s="202"/>
      <c r="AX59" s="202"/>
      <c r="AY59" s="202"/>
      <c r="AZ59" s="202"/>
      <c r="BA59" s="202"/>
      <c r="BB59" s="202"/>
      <c r="BC59" s="202"/>
      <c r="BD59" s="202"/>
      <c r="BE59" s="202"/>
      <c r="BF59" s="202"/>
      <c r="BG59" s="202"/>
      <c r="BH59" s="202"/>
      <c r="BI59" s="202"/>
      <c r="BJ59" s="202"/>
      <c r="BK59" s="202"/>
      <c r="BL59" s="202"/>
      <c r="BM59" s="202"/>
      <c r="BN59" s="202"/>
      <c r="BO59" s="202"/>
      <c r="BP59" s="202"/>
      <c r="BQ59" s="202"/>
      <c r="BR59" s="202"/>
      <c r="BS59" s="202"/>
      <c r="BT59" s="202"/>
      <c r="BU59" s="202"/>
      <c r="BV59" s="202"/>
      <c r="BW59" s="202"/>
      <c r="BX59" s="202"/>
      <c r="BY59" s="202"/>
      <c r="BZ59" s="202"/>
      <c r="CA59" s="202"/>
      <c r="CB59" s="202"/>
      <c r="CC59" s="202"/>
      <c r="CD59" s="202"/>
      <c r="CE59" s="202"/>
      <c r="CF59" s="202"/>
      <c r="CG59" s="202"/>
      <c r="CH59" s="202"/>
      <c r="CI59" s="202"/>
    </row>
    <row r="60" spans="1:87" ht="15.75" customHeight="1">
      <c r="A60" s="40" t="s">
        <v>51</v>
      </c>
      <c r="B60" s="193"/>
      <c r="C60" s="81"/>
      <c r="D60" s="194"/>
      <c r="E60" s="199"/>
      <c r="F60" s="196"/>
      <c r="G60" s="197"/>
      <c r="H60" s="72"/>
      <c r="I60" s="72"/>
      <c r="J60" s="74"/>
      <c r="K60" s="200">
        <v>22696715920</v>
      </c>
      <c r="L60" s="74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4">
        <v>38266348660</v>
      </c>
      <c r="X60" s="203">
        <v>43846932730</v>
      </c>
      <c r="Y60" s="202">
        <f t="shared" si="2"/>
        <v>-5580584070</v>
      </c>
      <c r="Z60" s="202"/>
      <c r="AA60" s="202"/>
      <c r="AB60" s="202"/>
      <c r="AC60" s="202"/>
      <c r="AD60" s="202"/>
      <c r="AE60" s="202"/>
      <c r="AF60" s="202"/>
      <c r="AG60" s="202"/>
      <c r="AH60" s="202"/>
      <c r="AI60" s="202"/>
      <c r="AJ60" s="202"/>
      <c r="AK60" s="202"/>
      <c r="AL60" s="202"/>
      <c r="AM60" s="202"/>
      <c r="AN60" s="202"/>
      <c r="AO60" s="202"/>
      <c r="AP60" s="202"/>
      <c r="AQ60" s="202"/>
      <c r="AR60" s="202"/>
      <c r="AS60" s="202"/>
      <c r="AT60" s="202"/>
      <c r="AU60" s="202"/>
      <c r="AV60" s="202"/>
      <c r="AW60" s="202"/>
      <c r="AX60" s="202"/>
      <c r="AY60" s="202"/>
      <c r="AZ60" s="202"/>
      <c r="BA60" s="202"/>
      <c r="BB60" s="202"/>
      <c r="BC60" s="202"/>
      <c r="BD60" s="202"/>
      <c r="BE60" s="202"/>
      <c r="BF60" s="202"/>
      <c r="BG60" s="202"/>
      <c r="BH60" s="202"/>
      <c r="BI60" s="202"/>
      <c r="BJ60" s="202"/>
      <c r="BK60" s="202"/>
      <c r="BL60" s="202"/>
      <c r="BM60" s="202"/>
      <c r="BN60" s="202"/>
      <c r="BO60" s="202"/>
      <c r="BP60" s="202"/>
      <c r="BQ60" s="202"/>
      <c r="BR60" s="202"/>
      <c r="BS60" s="202"/>
      <c r="BT60" s="202"/>
      <c r="BU60" s="202"/>
      <c r="BV60" s="202"/>
      <c r="BW60" s="202"/>
      <c r="BX60" s="202"/>
      <c r="BY60" s="202"/>
      <c r="BZ60" s="202"/>
      <c r="CA60" s="202"/>
      <c r="CB60" s="202"/>
      <c r="CC60" s="202"/>
      <c r="CD60" s="202"/>
      <c r="CE60" s="202"/>
      <c r="CF60" s="202"/>
      <c r="CG60" s="202"/>
      <c r="CH60" s="202"/>
      <c r="CI60" s="202"/>
    </row>
    <row r="61" spans="1:87" ht="15.75" customHeight="1">
      <c r="A61" s="40" t="s">
        <v>52</v>
      </c>
      <c r="B61" s="193"/>
      <c r="C61" s="81"/>
      <c r="D61" s="194"/>
      <c r="E61" s="199"/>
      <c r="F61" s="196"/>
      <c r="G61" s="197"/>
      <c r="H61" s="72"/>
      <c r="I61" s="72"/>
      <c r="J61" s="74"/>
      <c r="K61" s="200">
        <v>23750273350</v>
      </c>
      <c r="L61" s="74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4">
        <v>38597344630</v>
      </c>
      <c r="X61" s="203">
        <v>46489897100</v>
      </c>
      <c r="Y61" s="202">
        <f t="shared" si="2"/>
        <v>-7892552470</v>
      </c>
      <c r="Z61" s="202"/>
      <c r="AA61" s="202"/>
      <c r="AB61" s="202"/>
      <c r="AC61" s="202"/>
      <c r="AD61" s="202"/>
      <c r="AE61" s="202"/>
      <c r="AF61" s="202"/>
      <c r="AG61" s="202"/>
      <c r="AH61" s="202"/>
      <c r="AI61" s="202"/>
      <c r="AJ61" s="202"/>
      <c r="AK61" s="202"/>
      <c r="AL61" s="202"/>
      <c r="AM61" s="202"/>
      <c r="AN61" s="202"/>
      <c r="AO61" s="202"/>
      <c r="AP61" s="202"/>
      <c r="AQ61" s="202"/>
      <c r="AR61" s="202"/>
      <c r="AS61" s="202"/>
      <c r="AT61" s="202"/>
      <c r="AU61" s="202"/>
      <c r="AV61" s="202"/>
      <c r="AW61" s="202"/>
      <c r="AX61" s="202"/>
      <c r="AY61" s="202"/>
      <c r="AZ61" s="202"/>
      <c r="BA61" s="202"/>
      <c r="BB61" s="202"/>
      <c r="BC61" s="202"/>
      <c r="BD61" s="202"/>
      <c r="BE61" s="202"/>
      <c r="BF61" s="202"/>
      <c r="BG61" s="202"/>
      <c r="BH61" s="202"/>
      <c r="BI61" s="202"/>
      <c r="BJ61" s="202"/>
      <c r="BK61" s="202"/>
      <c r="BL61" s="202"/>
      <c r="BM61" s="202"/>
      <c r="BN61" s="202"/>
      <c r="BO61" s="202"/>
      <c r="BP61" s="202"/>
      <c r="BQ61" s="202"/>
      <c r="BR61" s="202"/>
      <c r="BS61" s="202"/>
      <c r="BT61" s="202"/>
      <c r="BU61" s="202"/>
      <c r="BV61" s="202"/>
      <c r="BW61" s="202"/>
      <c r="BX61" s="202"/>
      <c r="BY61" s="202"/>
      <c r="BZ61" s="202"/>
      <c r="CA61" s="202"/>
      <c r="CB61" s="202"/>
      <c r="CC61" s="202"/>
      <c r="CD61" s="202"/>
      <c r="CE61" s="202"/>
      <c r="CF61" s="202"/>
      <c r="CG61" s="202"/>
      <c r="CH61" s="202"/>
      <c r="CI61" s="202"/>
    </row>
    <row r="62" spans="1:87" ht="15.75" customHeight="1">
      <c r="A62" s="40" t="s">
        <v>53</v>
      </c>
      <c r="B62" s="193"/>
      <c r="C62" s="81"/>
      <c r="D62" s="194"/>
      <c r="E62" s="199"/>
      <c r="F62" s="196"/>
      <c r="G62" s="197"/>
      <c r="H62" s="72"/>
      <c r="I62" s="72"/>
      <c r="J62" s="74"/>
      <c r="K62" s="200">
        <v>25614635790</v>
      </c>
      <c r="L62" s="74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4">
        <v>44790780010</v>
      </c>
      <c r="X62" s="203">
        <v>53759303100</v>
      </c>
      <c r="Y62" s="202">
        <f t="shared" si="2"/>
        <v>-8968523090</v>
      </c>
      <c r="Z62" s="202"/>
      <c r="AA62" s="202"/>
      <c r="AB62" s="202"/>
      <c r="AC62" s="202"/>
      <c r="AD62" s="202"/>
      <c r="AE62" s="202"/>
      <c r="AF62" s="202"/>
      <c r="AG62" s="202"/>
      <c r="AH62" s="202"/>
      <c r="AI62" s="202"/>
      <c r="AJ62" s="202"/>
      <c r="AK62" s="202"/>
      <c r="AL62" s="202"/>
      <c r="AM62" s="202"/>
      <c r="AN62" s="202"/>
      <c r="AO62" s="202"/>
      <c r="AP62" s="202"/>
      <c r="AQ62" s="202"/>
      <c r="AR62" s="202"/>
      <c r="AS62" s="202"/>
      <c r="AT62" s="202"/>
      <c r="AU62" s="202"/>
      <c r="AV62" s="202"/>
      <c r="AW62" s="202"/>
      <c r="AX62" s="202"/>
      <c r="AY62" s="202"/>
      <c r="AZ62" s="202"/>
      <c r="BA62" s="202"/>
      <c r="BB62" s="202"/>
      <c r="BC62" s="202"/>
      <c r="BD62" s="202"/>
      <c r="BE62" s="202"/>
      <c r="BF62" s="202"/>
      <c r="BG62" s="202"/>
      <c r="BH62" s="202"/>
      <c r="BI62" s="202"/>
      <c r="BJ62" s="202"/>
      <c r="BK62" s="202"/>
      <c r="BL62" s="202"/>
      <c r="BM62" s="202"/>
      <c r="BN62" s="202"/>
      <c r="BO62" s="202"/>
      <c r="BP62" s="202"/>
      <c r="BQ62" s="202"/>
      <c r="BR62" s="202"/>
      <c r="BS62" s="202"/>
      <c r="BT62" s="202"/>
      <c r="BU62" s="202"/>
      <c r="BV62" s="202"/>
      <c r="BW62" s="202"/>
      <c r="BX62" s="202"/>
      <c r="BY62" s="202"/>
      <c r="BZ62" s="202"/>
      <c r="CA62" s="202"/>
      <c r="CB62" s="202"/>
      <c r="CC62" s="202"/>
      <c r="CD62" s="202"/>
      <c r="CE62" s="202"/>
      <c r="CF62" s="202"/>
      <c r="CG62" s="202"/>
      <c r="CH62" s="202"/>
      <c r="CI62" s="202"/>
    </row>
    <row r="63" spans="1:87" ht="15.75" customHeight="1">
      <c r="A63" s="40" t="s">
        <v>54</v>
      </c>
      <c r="B63" s="193"/>
      <c r="C63" s="81"/>
      <c r="D63" s="194"/>
      <c r="E63" s="199"/>
      <c r="F63" s="196"/>
      <c r="G63" s="197"/>
      <c r="H63" s="72"/>
      <c r="I63" s="72"/>
      <c r="J63" s="74"/>
      <c r="K63" s="200">
        <v>26453877000</v>
      </c>
      <c r="L63" s="74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4">
        <v>47012308370</v>
      </c>
      <c r="X63" s="203">
        <v>55021110950</v>
      </c>
      <c r="Y63" s="202">
        <f t="shared" si="2"/>
        <v>-8008802580</v>
      </c>
      <c r="Z63" s="202"/>
      <c r="AA63" s="202"/>
      <c r="AB63" s="202"/>
      <c r="AC63" s="202"/>
      <c r="AD63" s="202"/>
      <c r="AE63" s="202"/>
      <c r="AF63" s="202"/>
      <c r="AG63" s="202"/>
      <c r="AH63" s="202"/>
      <c r="AI63" s="202"/>
      <c r="AJ63" s="202"/>
      <c r="AK63" s="202"/>
      <c r="AL63" s="202"/>
      <c r="AM63" s="202"/>
      <c r="AN63" s="202"/>
      <c r="AO63" s="202"/>
      <c r="AP63" s="202"/>
      <c r="AQ63" s="202"/>
      <c r="AR63" s="202"/>
      <c r="AS63" s="202"/>
      <c r="AT63" s="202"/>
      <c r="AU63" s="202"/>
      <c r="AV63" s="202"/>
      <c r="AW63" s="202"/>
      <c r="AX63" s="202"/>
      <c r="AY63" s="202"/>
      <c r="AZ63" s="202"/>
      <c r="BA63" s="202"/>
      <c r="BB63" s="202"/>
      <c r="BC63" s="202"/>
      <c r="BD63" s="202"/>
      <c r="BE63" s="202"/>
      <c r="BF63" s="202"/>
      <c r="BG63" s="202"/>
      <c r="BH63" s="202"/>
      <c r="BI63" s="202"/>
      <c r="BJ63" s="202"/>
      <c r="BK63" s="202"/>
      <c r="BL63" s="202"/>
      <c r="BM63" s="202"/>
      <c r="BN63" s="202"/>
      <c r="BO63" s="202"/>
      <c r="BP63" s="202"/>
      <c r="BQ63" s="202"/>
      <c r="BR63" s="202"/>
      <c r="BS63" s="202"/>
      <c r="BT63" s="202"/>
      <c r="BU63" s="202"/>
      <c r="BV63" s="202"/>
      <c r="BW63" s="202"/>
      <c r="BX63" s="202"/>
      <c r="BY63" s="202"/>
      <c r="BZ63" s="202"/>
      <c r="CA63" s="202"/>
      <c r="CB63" s="202"/>
      <c r="CC63" s="202"/>
      <c r="CD63" s="202"/>
      <c r="CE63" s="202"/>
      <c r="CF63" s="202"/>
      <c r="CG63" s="202"/>
      <c r="CH63" s="202"/>
      <c r="CI63" s="202"/>
    </row>
    <row r="64" spans="1:87" ht="15.75" customHeight="1">
      <c r="A64" s="40" t="s">
        <v>55</v>
      </c>
      <c r="B64" s="193"/>
      <c r="C64" s="81"/>
      <c r="D64" s="194"/>
      <c r="E64" s="199"/>
      <c r="F64" s="196"/>
      <c r="G64" s="197"/>
      <c r="H64" s="72"/>
      <c r="I64" s="72"/>
      <c r="J64" s="74"/>
      <c r="K64" s="200">
        <v>26893783110</v>
      </c>
      <c r="L64" s="74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4">
        <v>47808050070</v>
      </c>
      <c r="X64" s="203">
        <v>54555218750</v>
      </c>
      <c r="Y64" s="202">
        <f t="shared" si="2"/>
        <v>-6747168680</v>
      </c>
      <c r="Z64" s="202"/>
      <c r="AA64" s="202"/>
      <c r="AB64" s="202"/>
      <c r="AC64" s="202"/>
      <c r="AD64" s="202"/>
      <c r="AE64" s="202"/>
      <c r="AF64" s="202"/>
      <c r="AG64" s="202"/>
      <c r="AH64" s="202"/>
      <c r="AI64" s="202"/>
      <c r="AJ64" s="202"/>
      <c r="AK64" s="202"/>
      <c r="AL64" s="202"/>
      <c r="AM64" s="202"/>
      <c r="AN64" s="202"/>
      <c r="AO64" s="202"/>
      <c r="AP64" s="202"/>
      <c r="AQ64" s="202"/>
      <c r="AR64" s="202"/>
      <c r="AS64" s="202"/>
      <c r="AT64" s="202"/>
      <c r="AU64" s="202"/>
      <c r="AV64" s="202"/>
      <c r="AW64" s="202"/>
      <c r="AX64" s="202"/>
      <c r="AY64" s="202"/>
      <c r="AZ64" s="202"/>
      <c r="BA64" s="202"/>
      <c r="BB64" s="202"/>
      <c r="BC64" s="202"/>
      <c r="BD64" s="202"/>
      <c r="BE64" s="202"/>
      <c r="BF64" s="202"/>
      <c r="BG64" s="202"/>
      <c r="BH64" s="202"/>
      <c r="BI64" s="202"/>
      <c r="BJ64" s="202"/>
      <c r="BK64" s="202"/>
      <c r="BL64" s="202"/>
      <c r="BM64" s="202"/>
      <c r="BN64" s="202"/>
      <c r="BO64" s="202"/>
      <c r="BP64" s="202"/>
      <c r="BQ64" s="202"/>
      <c r="BR64" s="202"/>
      <c r="BS64" s="202"/>
      <c r="BT64" s="202"/>
      <c r="BU64" s="202"/>
      <c r="BV64" s="202"/>
      <c r="BW64" s="202"/>
      <c r="BX64" s="202"/>
      <c r="BY64" s="202"/>
      <c r="BZ64" s="202"/>
      <c r="CA64" s="202"/>
      <c r="CB64" s="202"/>
      <c r="CC64" s="202"/>
      <c r="CD64" s="202"/>
      <c r="CE64" s="202"/>
      <c r="CF64" s="202"/>
      <c r="CG64" s="202"/>
      <c r="CH64" s="202"/>
      <c r="CI64" s="202"/>
    </row>
    <row r="65" spans="1:87" ht="15.75" customHeight="1">
      <c r="A65" s="40" t="s">
        <v>56</v>
      </c>
      <c r="B65" s="193"/>
      <c r="C65" s="81"/>
      <c r="D65" s="194"/>
      <c r="E65" s="199"/>
      <c r="F65" s="196"/>
      <c r="G65" s="197"/>
      <c r="H65" s="72"/>
      <c r="I65" s="72"/>
      <c r="J65" s="74"/>
      <c r="K65" s="200">
        <v>28752362280</v>
      </c>
      <c r="L65" s="74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4">
        <v>50030425470</v>
      </c>
      <c r="X65" s="203">
        <v>58480913160</v>
      </c>
      <c r="Y65" s="202">
        <f t="shared" si="2"/>
        <v>-8450487690</v>
      </c>
      <c r="Z65" s="202"/>
      <c r="AA65" s="202"/>
      <c r="AB65" s="202"/>
      <c r="AC65" s="202"/>
      <c r="AD65" s="202"/>
      <c r="AE65" s="202"/>
      <c r="AF65" s="202"/>
      <c r="AG65" s="202"/>
      <c r="AH65" s="202"/>
      <c r="AI65" s="202"/>
      <c r="AJ65" s="202"/>
      <c r="AK65" s="202"/>
      <c r="AL65" s="202"/>
      <c r="AM65" s="202"/>
      <c r="AN65" s="202"/>
      <c r="AO65" s="202"/>
      <c r="AP65" s="202"/>
      <c r="AQ65" s="202"/>
      <c r="AR65" s="202"/>
      <c r="AS65" s="202"/>
      <c r="AT65" s="202"/>
      <c r="AU65" s="202"/>
      <c r="AV65" s="202"/>
      <c r="AW65" s="202"/>
      <c r="AX65" s="202"/>
      <c r="AY65" s="202"/>
      <c r="AZ65" s="202"/>
      <c r="BA65" s="202"/>
      <c r="BB65" s="202"/>
      <c r="BC65" s="202"/>
      <c r="BD65" s="202"/>
      <c r="BE65" s="202"/>
      <c r="BF65" s="202"/>
      <c r="BG65" s="202"/>
      <c r="BH65" s="202"/>
      <c r="BI65" s="202"/>
      <c r="BJ65" s="202"/>
      <c r="BK65" s="202"/>
      <c r="BL65" s="202"/>
      <c r="BM65" s="202"/>
      <c r="BN65" s="202"/>
      <c r="BO65" s="202"/>
      <c r="BP65" s="202"/>
      <c r="BQ65" s="202"/>
      <c r="BR65" s="202"/>
      <c r="BS65" s="202"/>
      <c r="BT65" s="202"/>
      <c r="BU65" s="202"/>
      <c r="BV65" s="202"/>
      <c r="BW65" s="202"/>
      <c r="BX65" s="202"/>
      <c r="BY65" s="202"/>
      <c r="BZ65" s="202"/>
      <c r="CA65" s="202"/>
      <c r="CB65" s="202"/>
      <c r="CC65" s="202"/>
      <c r="CD65" s="202"/>
      <c r="CE65" s="202"/>
      <c r="CF65" s="202"/>
      <c r="CG65" s="202"/>
      <c r="CH65" s="202"/>
      <c r="CI65" s="202"/>
    </row>
    <row r="66" spans="1:87" ht="15.75" customHeight="1">
      <c r="A66" s="40" t="s">
        <v>57</v>
      </c>
      <c r="B66" s="193"/>
      <c r="C66" s="88"/>
      <c r="D66" s="194"/>
      <c r="E66" s="199"/>
      <c r="F66" s="196"/>
      <c r="G66" s="197"/>
      <c r="H66" s="72"/>
      <c r="I66" s="72"/>
      <c r="J66" s="74"/>
      <c r="K66" s="200">
        <v>30778974180</v>
      </c>
      <c r="L66" s="74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4">
        <v>49189037700</v>
      </c>
      <c r="X66" s="203">
        <v>56357889970</v>
      </c>
      <c r="Y66" s="202">
        <f t="shared" si="2"/>
        <v>-7168852270</v>
      </c>
      <c r="Z66" s="202"/>
      <c r="AA66" s="202"/>
      <c r="AB66" s="202"/>
      <c r="AC66" s="202"/>
      <c r="AD66" s="202"/>
      <c r="AE66" s="202"/>
      <c r="AF66" s="202"/>
      <c r="AG66" s="202"/>
      <c r="AH66" s="202"/>
      <c r="AI66" s="202"/>
      <c r="AJ66" s="202"/>
      <c r="AK66" s="202"/>
      <c r="AL66" s="202"/>
      <c r="AM66" s="202"/>
      <c r="AN66" s="202"/>
      <c r="AO66" s="202"/>
      <c r="AP66" s="202"/>
      <c r="AQ66" s="202"/>
      <c r="AR66" s="202"/>
      <c r="AS66" s="202"/>
      <c r="AT66" s="202"/>
      <c r="AU66" s="202"/>
      <c r="AV66" s="202"/>
      <c r="AW66" s="202"/>
      <c r="AX66" s="202"/>
      <c r="AY66" s="202"/>
      <c r="AZ66" s="202"/>
      <c r="BA66" s="202"/>
      <c r="BB66" s="202"/>
      <c r="BC66" s="202"/>
      <c r="BD66" s="202"/>
      <c r="BE66" s="202"/>
      <c r="BF66" s="202"/>
      <c r="BG66" s="202"/>
      <c r="BH66" s="202"/>
      <c r="BI66" s="202"/>
      <c r="BJ66" s="202"/>
      <c r="BK66" s="202"/>
      <c r="BL66" s="202"/>
      <c r="BM66" s="202"/>
      <c r="BN66" s="202"/>
      <c r="BO66" s="202"/>
      <c r="BP66" s="202"/>
      <c r="BQ66" s="202"/>
      <c r="BR66" s="202"/>
      <c r="BS66" s="202"/>
      <c r="BT66" s="202"/>
      <c r="BU66" s="202"/>
      <c r="BV66" s="202"/>
      <c r="BW66" s="202"/>
      <c r="BX66" s="202"/>
      <c r="BY66" s="202"/>
      <c r="BZ66" s="202"/>
      <c r="CA66" s="202"/>
      <c r="CB66" s="202"/>
      <c r="CC66" s="202"/>
      <c r="CD66" s="202"/>
      <c r="CE66" s="202"/>
      <c r="CF66" s="202"/>
      <c r="CG66" s="202"/>
      <c r="CH66" s="202"/>
      <c r="CI66" s="202"/>
    </row>
    <row r="67" spans="1:87" ht="15.75" customHeight="1">
      <c r="A67" s="40" t="s">
        <v>58</v>
      </c>
      <c r="B67" s="193"/>
      <c r="C67" s="88"/>
      <c r="D67" s="194"/>
      <c r="E67" s="199"/>
      <c r="F67" s="196"/>
      <c r="G67" s="197"/>
      <c r="H67" s="72"/>
      <c r="I67" s="72"/>
      <c r="J67" s="74"/>
      <c r="K67" s="200">
        <v>29663574050</v>
      </c>
      <c r="L67" s="74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4">
        <v>46962159910</v>
      </c>
      <c r="X67" s="203">
        <v>56684264660</v>
      </c>
      <c r="Y67" s="202">
        <f t="shared" si="2"/>
        <v>-9722104750</v>
      </c>
      <c r="Z67" s="202"/>
      <c r="AA67" s="202"/>
      <c r="AB67" s="202"/>
      <c r="AC67" s="202"/>
      <c r="AD67" s="202"/>
      <c r="AE67" s="202"/>
      <c r="AF67" s="202"/>
      <c r="AG67" s="202"/>
      <c r="AH67" s="202"/>
      <c r="AI67" s="202"/>
      <c r="AJ67" s="202"/>
      <c r="AK67" s="202"/>
      <c r="AL67" s="202"/>
      <c r="AM67" s="202"/>
      <c r="AN67" s="202"/>
      <c r="AO67" s="202"/>
      <c r="AP67" s="202"/>
      <c r="AQ67" s="202"/>
      <c r="AR67" s="202"/>
      <c r="AS67" s="202"/>
      <c r="AT67" s="202"/>
      <c r="AU67" s="202"/>
      <c r="AV67" s="202"/>
      <c r="AW67" s="202"/>
      <c r="AX67" s="202"/>
      <c r="AY67" s="202"/>
      <c r="AZ67" s="202"/>
      <c r="BA67" s="202"/>
      <c r="BB67" s="202"/>
      <c r="BC67" s="202"/>
      <c r="BD67" s="202"/>
      <c r="BE67" s="202"/>
      <c r="BF67" s="202"/>
      <c r="BG67" s="202"/>
      <c r="BH67" s="202"/>
      <c r="BI67" s="202"/>
      <c r="BJ67" s="202"/>
      <c r="BK67" s="202"/>
      <c r="BL67" s="202"/>
      <c r="BM67" s="202"/>
      <c r="BN67" s="202"/>
      <c r="BO67" s="202"/>
      <c r="BP67" s="202"/>
      <c r="BQ67" s="202"/>
      <c r="BR67" s="202"/>
      <c r="BS67" s="202"/>
      <c r="BT67" s="202"/>
      <c r="BU67" s="202"/>
      <c r="BV67" s="202"/>
      <c r="BW67" s="202"/>
      <c r="BX67" s="202"/>
      <c r="BY67" s="202"/>
      <c r="BZ67" s="202"/>
      <c r="CA67" s="202"/>
      <c r="CB67" s="202"/>
      <c r="CC67" s="202"/>
      <c r="CD67" s="202"/>
      <c r="CE67" s="202"/>
      <c r="CF67" s="202"/>
      <c r="CG67" s="202"/>
      <c r="CH67" s="202"/>
      <c r="CI67" s="202"/>
    </row>
    <row r="68" spans="1:87" ht="15.75" customHeight="1">
      <c r="A68" s="40" t="s">
        <v>59</v>
      </c>
      <c r="B68" s="193"/>
      <c r="C68" s="88"/>
      <c r="D68" s="194"/>
      <c r="E68" s="199"/>
      <c r="F68" s="196"/>
      <c r="G68" s="197"/>
      <c r="H68" s="72"/>
      <c r="I68" s="72"/>
      <c r="J68" s="74"/>
      <c r="K68" s="200">
        <v>29667301770</v>
      </c>
      <c r="L68" s="74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4">
        <v>48134851670</v>
      </c>
      <c r="X68" s="203">
        <v>58939054880</v>
      </c>
      <c r="Y68" s="202">
        <f t="shared" si="2"/>
        <v>-10804203210</v>
      </c>
      <c r="Z68" s="202"/>
      <c r="AA68" s="202"/>
      <c r="AB68" s="202"/>
      <c r="AC68" s="202"/>
      <c r="AD68" s="202"/>
      <c r="AE68" s="202"/>
      <c r="AF68" s="202"/>
      <c r="AG68" s="202"/>
      <c r="AH68" s="202"/>
      <c r="AI68" s="202"/>
      <c r="AJ68" s="202"/>
      <c r="AK68" s="202"/>
      <c r="AL68" s="202"/>
      <c r="AM68" s="202"/>
      <c r="AN68" s="202"/>
      <c r="AO68" s="202"/>
      <c r="AP68" s="202"/>
      <c r="AQ68" s="202"/>
      <c r="AR68" s="202"/>
      <c r="AS68" s="202"/>
      <c r="AT68" s="202"/>
      <c r="AU68" s="202"/>
      <c r="AV68" s="202"/>
      <c r="AW68" s="202"/>
      <c r="AX68" s="202"/>
      <c r="AY68" s="202"/>
      <c r="AZ68" s="202"/>
      <c r="BA68" s="202"/>
      <c r="BB68" s="202"/>
      <c r="BC68" s="202"/>
      <c r="BD68" s="202"/>
      <c r="BE68" s="202"/>
      <c r="BF68" s="202"/>
      <c r="BG68" s="202"/>
      <c r="BH68" s="202"/>
      <c r="BI68" s="202"/>
      <c r="BJ68" s="202"/>
      <c r="BK68" s="202"/>
      <c r="BL68" s="202"/>
      <c r="BM68" s="202"/>
      <c r="BN68" s="202"/>
      <c r="BO68" s="202"/>
      <c r="BP68" s="202"/>
      <c r="BQ68" s="202"/>
      <c r="BR68" s="202"/>
      <c r="BS68" s="202"/>
      <c r="BT68" s="202"/>
      <c r="BU68" s="202"/>
      <c r="BV68" s="202"/>
      <c r="BW68" s="202"/>
      <c r="BX68" s="202"/>
      <c r="BY68" s="202"/>
      <c r="BZ68" s="202"/>
      <c r="CA68" s="202"/>
      <c r="CB68" s="202"/>
      <c r="CC68" s="202"/>
      <c r="CD68" s="202"/>
      <c r="CE68" s="202"/>
      <c r="CF68" s="202"/>
      <c r="CG68" s="202"/>
      <c r="CH68" s="202"/>
      <c r="CI68" s="202"/>
    </row>
    <row r="69" spans="1:87" ht="15.75" customHeight="1">
      <c r="A69" s="40" t="s">
        <v>60</v>
      </c>
      <c r="B69" s="193"/>
      <c r="C69" s="88"/>
      <c r="D69" s="194"/>
      <c r="E69" s="199"/>
      <c r="F69" s="196"/>
      <c r="G69" s="197"/>
      <c r="H69" s="72"/>
      <c r="I69" s="72"/>
      <c r="J69" s="74"/>
      <c r="K69" s="200">
        <v>33054386320</v>
      </c>
      <c r="L69" s="74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4">
        <v>58873344660</v>
      </c>
      <c r="X69" s="203">
        <v>68730467500</v>
      </c>
      <c r="Y69" s="202">
        <f t="shared" si="2"/>
        <v>-9857122840</v>
      </c>
      <c r="Z69" s="202"/>
      <c r="AA69" s="202"/>
      <c r="AB69" s="202"/>
      <c r="AC69" s="202"/>
      <c r="AD69" s="202"/>
      <c r="AE69" s="202"/>
      <c r="AF69" s="202"/>
      <c r="AG69" s="202"/>
      <c r="AH69" s="202"/>
      <c r="AI69" s="202"/>
      <c r="AJ69" s="202"/>
      <c r="AK69" s="202"/>
      <c r="AL69" s="202"/>
      <c r="AM69" s="202"/>
      <c r="AN69" s="202"/>
      <c r="AO69" s="202"/>
      <c r="AP69" s="202"/>
      <c r="AQ69" s="202"/>
      <c r="AR69" s="202"/>
      <c r="AS69" s="202"/>
      <c r="AT69" s="202"/>
      <c r="AU69" s="202"/>
      <c r="AV69" s="202"/>
      <c r="AW69" s="202"/>
      <c r="AX69" s="202"/>
      <c r="AY69" s="202"/>
      <c r="AZ69" s="202"/>
      <c r="BA69" s="202"/>
      <c r="BB69" s="202"/>
      <c r="BC69" s="202"/>
      <c r="BD69" s="202"/>
      <c r="BE69" s="202"/>
      <c r="BF69" s="202"/>
      <c r="BG69" s="202"/>
      <c r="BH69" s="202"/>
      <c r="BI69" s="202"/>
      <c r="BJ69" s="202"/>
      <c r="BK69" s="202"/>
      <c r="BL69" s="202"/>
      <c r="BM69" s="202"/>
      <c r="BN69" s="202"/>
      <c r="BO69" s="202"/>
      <c r="BP69" s="202"/>
      <c r="BQ69" s="202"/>
      <c r="BR69" s="202"/>
      <c r="BS69" s="202"/>
      <c r="BT69" s="202"/>
      <c r="BU69" s="202"/>
      <c r="BV69" s="202"/>
      <c r="BW69" s="202"/>
      <c r="BX69" s="202"/>
      <c r="BY69" s="202"/>
      <c r="BZ69" s="202"/>
      <c r="CA69" s="202"/>
      <c r="CB69" s="202"/>
      <c r="CC69" s="202"/>
      <c r="CD69" s="202"/>
      <c r="CE69" s="202"/>
      <c r="CF69" s="202"/>
      <c r="CG69" s="202"/>
      <c r="CH69" s="202"/>
      <c r="CI69" s="202"/>
    </row>
    <row r="70" spans="1:87" ht="15.75" customHeight="1">
      <c r="A70" s="40" t="s">
        <v>61</v>
      </c>
      <c r="B70" s="193"/>
      <c r="C70" s="88"/>
      <c r="D70" s="194"/>
      <c r="E70" s="199"/>
      <c r="F70" s="196"/>
      <c r="G70" s="197"/>
      <c r="H70" s="72"/>
      <c r="I70" s="72"/>
      <c r="J70" s="74"/>
      <c r="K70" s="200">
        <v>33329910839.999996</v>
      </c>
      <c r="L70" s="74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4">
        <v>60390340840</v>
      </c>
      <c r="X70" s="203">
        <v>71636712630</v>
      </c>
      <c r="Y70" s="202">
        <f t="shared" si="2"/>
        <v>-11246371790</v>
      </c>
      <c r="Z70" s="202"/>
      <c r="AA70" s="202"/>
      <c r="AB70" s="202"/>
      <c r="AC70" s="202"/>
      <c r="AD70" s="202"/>
      <c r="AE70" s="202"/>
      <c r="AF70" s="202"/>
      <c r="AG70" s="202"/>
      <c r="AH70" s="202"/>
      <c r="AI70" s="202"/>
      <c r="AJ70" s="202"/>
      <c r="AK70" s="202"/>
      <c r="AL70" s="202"/>
      <c r="AM70" s="202"/>
      <c r="AN70" s="202"/>
      <c r="AO70" s="202"/>
      <c r="AP70" s="202"/>
      <c r="AQ70" s="202"/>
      <c r="AR70" s="202"/>
      <c r="AS70" s="202"/>
      <c r="AT70" s="202"/>
      <c r="AU70" s="202"/>
      <c r="AV70" s="202"/>
      <c r="AW70" s="202"/>
      <c r="AX70" s="202"/>
      <c r="AY70" s="202"/>
      <c r="AZ70" s="202"/>
      <c r="BA70" s="202"/>
      <c r="BB70" s="202"/>
      <c r="BC70" s="202"/>
      <c r="BD70" s="202"/>
      <c r="BE70" s="202"/>
      <c r="BF70" s="202"/>
      <c r="BG70" s="202"/>
      <c r="BH70" s="202"/>
      <c r="BI70" s="202"/>
      <c r="BJ70" s="202"/>
      <c r="BK70" s="202"/>
      <c r="BL70" s="202"/>
      <c r="BM70" s="202"/>
      <c r="BN70" s="202"/>
      <c r="BO70" s="202"/>
      <c r="BP70" s="202"/>
      <c r="BQ70" s="202"/>
      <c r="BR70" s="202"/>
      <c r="BS70" s="202"/>
      <c r="BT70" s="202"/>
      <c r="BU70" s="202"/>
      <c r="BV70" s="202"/>
      <c r="BW70" s="202"/>
      <c r="BX70" s="202"/>
      <c r="BY70" s="202"/>
      <c r="BZ70" s="202"/>
      <c r="CA70" s="202"/>
      <c r="CB70" s="202"/>
      <c r="CC70" s="202"/>
      <c r="CD70" s="202"/>
      <c r="CE70" s="202"/>
      <c r="CF70" s="202"/>
      <c r="CG70" s="202"/>
      <c r="CH70" s="202"/>
      <c r="CI70" s="202"/>
    </row>
    <row r="71" spans="1:87" ht="15.75" customHeight="1">
      <c r="A71" s="40" t="s">
        <v>62</v>
      </c>
      <c r="B71" s="193"/>
      <c r="C71" s="88"/>
      <c r="D71" s="194"/>
      <c r="E71" s="199"/>
      <c r="F71" s="196"/>
      <c r="G71" s="197"/>
      <c r="H71" s="72"/>
      <c r="I71" s="72"/>
      <c r="J71" s="74"/>
      <c r="K71" s="200">
        <v>35421877580</v>
      </c>
      <c r="L71" s="74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4">
        <v>58675469220</v>
      </c>
      <c r="X71" s="203">
        <v>69200146360</v>
      </c>
      <c r="Y71" s="202">
        <f t="shared" si="2"/>
        <v>-10524677140</v>
      </c>
      <c r="Z71" s="202"/>
      <c r="AA71" s="202"/>
      <c r="AB71" s="202"/>
      <c r="AC71" s="202"/>
      <c r="AD71" s="202"/>
      <c r="AE71" s="202"/>
      <c r="AF71" s="202"/>
      <c r="AG71" s="202"/>
      <c r="AH71" s="202"/>
      <c r="AI71" s="202"/>
      <c r="AJ71" s="202"/>
      <c r="AK71" s="202"/>
      <c r="AL71" s="202"/>
      <c r="AM71" s="202"/>
      <c r="AN71" s="202"/>
      <c r="AO71" s="202"/>
      <c r="AP71" s="202"/>
      <c r="AQ71" s="202"/>
      <c r="AR71" s="202"/>
      <c r="AS71" s="202"/>
      <c r="AT71" s="202"/>
      <c r="AU71" s="202"/>
      <c r="AV71" s="202"/>
      <c r="AW71" s="202"/>
      <c r="AX71" s="202"/>
      <c r="AY71" s="202"/>
      <c r="AZ71" s="202"/>
      <c r="BA71" s="202"/>
      <c r="BB71" s="202"/>
      <c r="BC71" s="202"/>
      <c r="BD71" s="202"/>
      <c r="BE71" s="202"/>
      <c r="BF71" s="202"/>
      <c r="BG71" s="202"/>
      <c r="BH71" s="202"/>
      <c r="BI71" s="202"/>
      <c r="BJ71" s="202"/>
      <c r="BK71" s="202"/>
      <c r="BL71" s="202"/>
      <c r="BM71" s="202"/>
      <c r="BN71" s="202"/>
      <c r="BO71" s="202"/>
      <c r="BP71" s="202"/>
      <c r="BQ71" s="202"/>
      <c r="BR71" s="202"/>
      <c r="BS71" s="202"/>
      <c r="BT71" s="202"/>
      <c r="BU71" s="202"/>
      <c r="BV71" s="202"/>
      <c r="BW71" s="202"/>
      <c r="BX71" s="202"/>
      <c r="BY71" s="202"/>
      <c r="BZ71" s="202"/>
      <c r="CA71" s="202"/>
      <c r="CB71" s="202"/>
      <c r="CC71" s="202"/>
      <c r="CD71" s="202"/>
      <c r="CE71" s="202"/>
      <c r="CF71" s="202"/>
      <c r="CG71" s="202"/>
      <c r="CH71" s="202"/>
      <c r="CI71" s="202"/>
    </row>
    <row r="72" spans="1:87" ht="15.75" customHeight="1">
      <c r="A72" s="40" t="s">
        <v>63</v>
      </c>
      <c r="B72" s="193"/>
      <c r="C72" s="88"/>
      <c r="D72" s="194"/>
      <c r="E72" s="199"/>
      <c r="F72" s="196"/>
      <c r="G72" s="197"/>
      <c r="H72" s="72"/>
      <c r="I72" s="72"/>
      <c r="J72" s="74"/>
      <c r="K72" s="200">
        <v>34531531990</v>
      </c>
      <c r="L72" s="74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4">
        <v>58373358520</v>
      </c>
      <c r="X72" s="203">
        <v>60996060010</v>
      </c>
      <c r="Y72" s="202">
        <f t="shared" si="2"/>
        <v>-2622701490</v>
      </c>
      <c r="Z72" s="202"/>
      <c r="AA72" s="202"/>
      <c r="AB72" s="202"/>
      <c r="AC72" s="202"/>
      <c r="AD72" s="202"/>
      <c r="AE72" s="202"/>
      <c r="AF72" s="202"/>
      <c r="AG72" s="202"/>
      <c r="AH72" s="202"/>
      <c r="AI72" s="202"/>
      <c r="AJ72" s="202"/>
      <c r="AK72" s="202"/>
      <c r="AL72" s="202"/>
      <c r="AM72" s="202"/>
      <c r="AN72" s="202"/>
      <c r="AO72" s="202"/>
      <c r="AP72" s="202"/>
      <c r="AQ72" s="202"/>
      <c r="AR72" s="202"/>
      <c r="AS72" s="202"/>
      <c r="AT72" s="202"/>
      <c r="AU72" s="202"/>
      <c r="AV72" s="202"/>
      <c r="AW72" s="202"/>
      <c r="AX72" s="202"/>
      <c r="AY72" s="202"/>
      <c r="AZ72" s="202"/>
      <c r="BA72" s="202"/>
      <c r="BB72" s="202"/>
      <c r="BC72" s="202"/>
      <c r="BD72" s="202"/>
      <c r="BE72" s="202"/>
      <c r="BF72" s="202"/>
      <c r="BG72" s="202"/>
      <c r="BH72" s="202"/>
      <c r="BI72" s="202"/>
      <c r="BJ72" s="202"/>
      <c r="BK72" s="202"/>
      <c r="BL72" s="202"/>
      <c r="BM72" s="202"/>
      <c r="BN72" s="202"/>
      <c r="BO72" s="202"/>
      <c r="BP72" s="202"/>
      <c r="BQ72" s="202"/>
      <c r="BR72" s="202"/>
      <c r="BS72" s="202"/>
      <c r="BT72" s="202"/>
      <c r="BU72" s="202"/>
      <c r="BV72" s="202"/>
      <c r="BW72" s="202"/>
      <c r="BX72" s="202"/>
      <c r="BY72" s="202"/>
      <c r="BZ72" s="202"/>
      <c r="CA72" s="202"/>
      <c r="CB72" s="202"/>
      <c r="CC72" s="202"/>
      <c r="CD72" s="202"/>
      <c r="CE72" s="202"/>
      <c r="CF72" s="202"/>
      <c r="CG72" s="202"/>
      <c r="CH72" s="202"/>
      <c r="CI72" s="202"/>
    </row>
    <row r="73" spans="1:87" ht="15.75" customHeight="1">
      <c r="A73" s="40" t="s">
        <v>64</v>
      </c>
      <c r="B73" s="193">
        <f>D73+K73+M73+U73+Y73</f>
        <v>41711554525.699997</v>
      </c>
      <c r="C73" s="88"/>
      <c r="D73" s="194">
        <f>SUM(E73:I73)</f>
        <v>273435.7</v>
      </c>
      <c r="E73" s="202">
        <v>9472.2999999999993</v>
      </c>
      <c r="F73" s="201">
        <v>15446.1</v>
      </c>
      <c r="G73" s="202">
        <v>46185.9</v>
      </c>
      <c r="H73" s="201">
        <v>72183.600000000006</v>
      </c>
      <c r="I73" s="202">
        <v>130147.8</v>
      </c>
      <c r="J73" s="74"/>
      <c r="K73" s="200">
        <v>37205453390</v>
      </c>
      <c r="L73" s="74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4">
        <v>59129027450</v>
      </c>
      <c r="X73" s="203">
        <v>54623199750</v>
      </c>
      <c r="Y73" s="202">
        <f t="shared" si="2"/>
        <v>4505827700</v>
      </c>
      <c r="Z73" s="202"/>
      <c r="AA73" s="202"/>
      <c r="AB73" s="202"/>
      <c r="AC73" s="202"/>
      <c r="AD73" s="202"/>
      <c r="AE73" s="202"/>
      <c r="AF73" s="202"/>
      <c r="AG73" s="202"/>
      <c r="AH73" s="202"/>
      <c r="AI73" s="202"/>
      <c r="AJ73" s="202"/>
      <c r="AK73" s="202"/>
      <c r="AL73" s="202"/>
      <c r="AM73" s="202"/>
      <c r="AN73" s="202"/>
      <c r="AO73" s="202"/>
      <c r="AP73" s="202"/>
      <c r="AQ73" s="202"/>
      <c r="AR73" s="202"/>
      <c r="AS73" s="202"/>
      <c r="AT73" s="202"/>
      <c r="AU73" s="202"/>
      <c r="AV73" s="202"/>
      <c r="AW73" s="202"/>
      <c r="AX73" s="202"/>
      <c r="AY73" s="202"/>
      <c r="AZ73" s="202"/>
      <c r="BA73" s="202"/>
      <c r="BB73" s="202"/>
      <c r="BC73" s="202"/>
      <c r="BD73" s="202"/>
      <c r="BE73" s="202"/>
      <c r="BF73" s="202"/>
      <c r="BG73" s="202"/>
      <c r="BH73" s="202"/>
      <c r="BI73" s="202"/>
      <c r="BJ73" s="202"/>
      <c r="BK73" s="202"/>
      <c r="BL73" s="202"/>
      <c r="BM73" s="202"/>
      <c r="BN73" s="202"/>
      <c r="BO73" s="202"/>
      <c r="BP73" s="202"/>
      <c r="BQ73" s="202"/>
      <c r="BR73" s="202"/>
      <c r="BS73" s="202"/>
      <c r="BT73" s="202"/>
      <c r="BU73" s="202"/>
      <c r="BV73" s="202"/>
      <c r="BW73" s="202"/>
      <c r="BX73" s="202"/>
      <c r="BY73" s="202"/>
      <c r="BZ73" s="202"/>
      <c r="CA73" s="202"/>
      <c r="CB73" s="202"/>
      <c r="CC73" s="202"/>
      <c r="CD73" s="202"/>
      <c r="CE73" s="202"/>
      <c r="CF73" s="202"/>
      <c r="CG73" s="202"/>
      <c r="CH73" s="202"/>
      <c r="CI73" s="202"/>
    </row>
    <row r="74" spans="1:87" ht="15.75" customHeight="1">
      <c r="A74" s="40" t="s">
        <v>65</v>
      </c>
      <c r="B74" s="193">
        <f t="shared" ref="B74:B103" si="3">D74+K74+M74+U74+Y74</f>
        <v>37452284259.900002</v>
      </c>
      <c r="C74" s="88"/>
      <c r="D74" s="198">
        <f t="shared" ref="D74:D103" si="4">SUM(E74:I74)</f>
        <v>303049.90000000002</v>
      </c>
      <c r="E74" s="202">
        <v>13867.4</v>
      </c>
      <c r="F74" s="201">
        <v>14821.1</v>
      </c>
      <c r="G74" s="202">
        <v>54581.3</v>
      </c>
      <c r="H74" s="201">
        <v>75667.600000000006</v>
      </c>
      <c r="I74" s="202">
        <v>144112.5</v>
      </c>
      <c r="J74" s="74"/>
      <c r="K74" s="200">
        <v>38245187990</v>
      </c>
      <c r="L74" s="74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4">
        <v>54508058600</v>
      </c>
      <c r="X74" s="203">
        <v>55301265380</v>
      </c>
      <c r="Y74" s="202">
        <f t="shared" si="2"/>
        <v>-793206780</v>
      </c>
      <c r="Z74" s="202"/>
      <c r="AA74" s="202"/>
      <c r="AB74" s="202"/>
      <c r="AC74" s="202"/>
      <c r="AD74" s="202"/>
      <c r="AE74" s="202"/>
      <c r="AF74" s="202"/>
      <c r="AG74" s="202"/>
      <c r="AH74" s="202"/>
      <c r="AI74" s="202"/>
      <c r="AJ74" s="202"/>
      <c r="AK74" s="202"/>
      <c r="AL74" s="202"/>
      <c r="AM74" s="202"/>
      <c r="AN74" s="202"/>
      <c r="AO74" s="202"/>
      <c r="AP74" s="202"/>
      <c r="AQ74" s="202"/>
      <c r="AR74" s="202"/>
      <c r="AS74" s="202"/>
      <c r="AT74" s="202"/>
      <c r="AU74" s="202"/>
      <c r="AV74" s="202"/>
      <c r="AW74" s="202"/>
      <c r="AX74" s="202"/>
      <c r="AY74" s="202"/>
      <c r="AZ74" s="202"/>
      <c r="BA74" s="202"/>
      <c r="BB74" s="202"/>
      <c r="BC74" s="202"/>
      <c r="BD74" s="202"/>
      <c r="BE74" s="202"/>
      <c r="BF74" s="202"/>
      <c r="BG74" s="202"/>
      <c r="BH74" s="202"/>
      <c r="BI74" s="202"/>
      <c r="BJ74" s="202"/>
      <c r="BK74" s="202"/>
      <c r="BL74" s="202"/>
      <c r="BM74" s="202"/>
      <c r="BN74" s="202"/>
      <c r="BO74" s="202"/>
      <c r="BP74" s="202"/>
      <c r="BQ74" s="202"/>
      <c r="BR74" s="202"/>
      <c r="BS74" s="202"/>
      <c r="BT74" s="202"/>
      <c r="BU74" s="202"/>
      <c r="BV74" s="202"/>
      <c r="BW74" s="202"/>
      <c r="BX74" s="202"/>
      <c r="BY74" s="202"/>
      <c r="BZ74" s="202"/>
      <c r="CA74" s="202"/>
      <c r="CB74" s="202"/>
      <c r="CC74" s="202"/>
      <c r="CD74" s="202"/>
      <c r="CE74" s="202"/>
      <c r="CF74" s="202"/>
      <c r="CG74" s="202"/>
      <c r="CH74" s="202"/>
      <c r="CI74" s="202"/>
    </row>
    <row r="75" spans="1:87" ht="15.75" customHeight="1">
      <c r="A75" s="40" t="s">
        <v>66</v>
      </c>
      <c r="B75" s="193">
        <f t="shared" si="3"/>
        <v>38455469255.800003</v>
      </c>
      <c r="C75" s="88"/>
      <c r="D75" s="198">
        <f t="shared" si="4"/>
        <v>340495.8</v>
      </c>
      <c r="E75" s="202">
        <v>13070.6</v>
      </c>
      <c r="F75" s="201">
        <v>16667.7</v>
      </c>
      <c r="G75" s="202">
        <v>68853.600000000006</v>
      </c>
      <c r="H75" s="201">
        <v>78027.399999999994</v>
      </c>
      <c r="I75" s="202">
        <v>163876.5</v>
      </c>
      <c r="J75" s="74"/>
      <c r="K75" s="200">
        <v>39645740940</v>
      </c>
      <c r="L75" s="74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4">
        <v>60595791840</v>
      </c>
      <c r="X75" s="203">
        <v>61786404020</v>
      </c>
      <c r="Y75" s="202">
        <f t="shared" si="2"/>
        <v>-1190612180</v>
      </c>
      <c r="Z75" s="202"/>
      <c r="AA75" s="202"/>
      <c r="AB75" s="202"/>
      <c r="AC75" s="202"/>
      <c r="AD75" s="202"/>
      <c r="AE75" s="202"/>
      <c r="AF75" s="202"/>
      <c r="AG75" s="202"/>
      <c r="AH75" s="202"/>
      <c r="AI75" s="202"/>
      <c r="AJ75" s="202"/>
      <c r="AK75" s="202"/>
      <c r="AL75" s="202"/>
      <c r="AM75" s="202"/>
      <c r="AN75" s="202"/>
      <c r="AO75" s="202"/>
      <c r="AP75" s="202"/>
      <c r="AQ75" s="202"/>
      <c r="AR75" s="202"/>
      <c r="AS75" s="202"/>
      <c r="AT75" s="202"/>
      <c r="AU75" s="202"/>
      <c r="AV75" s="202"/>
      <c r="AW75" s="202"/>
      <c r="AX75" s="202"/>
      <c r="AY75" s="202"/>
      <c r="AZ75" s="202"/>
      <c r="BA75" s="202"/>
      <c r="BB75" s="202"/>
      <c r="BC75" s="202"/>
      <c r="BD75" s="202"/>
      <c r="BE75" s="202"/>
      <c r="BF75" s="202"/>
      <c r="BG75" s="202"/>
      <c r="BH75" s="202"/>
      <c r="BI75" s="202"/>
      <c r="BJ75" s="202"/>
      <c r="BK75" s="202"/>
      <c r="BL75" s="202"/>
      <c r="BM75" s="202"/>
      <c r="BN75" s="202"/>
      <c r="BO75" s="202"/>
      <c r="BP75" s="202"/>
      <c r="BQ75" s="202"/>
      <c r="BR75" s="202"/>
      <c r="BS75" s="202"/>
      <c r="BT75" s="202"/>
      <c r="BU75" s="202"/>
      <c r="BV75" s="202"/>
      <c r="BW75" s="202"/>
      <c r="BX75" s="202"/>
      <c r="BY75" s="202"/>
      <c r="BZ75" s="202"/>
      <c r="CA75" s="202"/>
      <c r="CB75" s="202"/>
      <c r="CC75" s="202"/>
      <c r="CD75" s="202"/>
      <c r="CE75" s="202"/>
      <c r="CF75" s="202"/>
      <c r="CG75" s="202"/>
      <c r="CH75" s="202"/>
      <c r="CI75" s="202"/>
    </row>
    <row r="76" spans="1:87" ht="15.75" customHeight="1">
      <c r="A76" s="40" t="s">
        <v>67</v>
      </c>
      <c r="B76" s="193">
        <f t="shared" si="3"/>
        <v>39488665277.900002</v>
      </c>
      <c r="C76" s="88"/>
      <c r="D76" s="198">
        <f t="shared" si="4"/>
        <v>328447.90000000002</v>
      </c>
      <c r="E76" s="202">
        <v>13576.9</v>
      </c>
      <c r="F76" s="201">
        <v>17942.900000000001</v>
      </c>
      <c r="G76" s="202">
        <v>57638.6</v>
      </c>
      <c r="H76" s="201">
        <v>79705.3</v>
      </c>
      <c r="I76" s="202">
        <v>159584.20000000001</v>
      </c>
      <c r="J76" s="74"/>
      <c r="K76" s="200">
        <v>42480006080</v>
      </c>
      <c r="L76" s="74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4">
        <v>60958375210</v>
      </c>
      <c r="X76" s="203">
        <v>63950044460</v>
      </c>
      <c r="Y76" s="202">
        <f t="shared" si="2"/>
        <v>-2991669250</v>
      </c>
      <c r="Z76" s="202"/>
      <c r="AA76" s="202"/>
      <c r="AB76" s="202"/>
      <c r="AC76" s="202"/>
      <c r="AD76" s="202"/>
      <c r="AE76" s="202"/>
      <c r="AF76" s="202"/>
      <c r="AG76" s="202"/>
      <c r="AH76" s="202"/>
      <c r="AI76" s="202"/>
      <c r="AJ76" s="202"/>
      <c r="AK76" s="202"/>
      <c r="AL76" s="202"/>
      <c r="AM76" s="202"/>
      <c r="AN76" s="202"/>
      <c r="AO76" s="202"/>
      <c r="AP76" s="202"/>
      <c r="AQ76" s="202"/>
      <c r="AR76" s="202"/>
      <c r="AS76" s="202"/>
      <c r="AT76" s="202"/>
      <c r="AU76" s="202"/>
      <c r="AV76" s="202"/>
      <c r="AW76" s="202"/>
      <c r="AX76" s="202"/>
      <c r="AY76" s="202"/>
      <c r="AZ76" s="202"/>
      <c r="BA76" s="202"/>
      <c r="BB76" s="202"/>
      <c r="BC76" s="202"/>
      <c r="BD76" s="202"/>
      <c r="BE76" s="202"/>
      <c r="BF76" s="202"/>
      <c r="BG76" s="202"/>
      <c r="BH76" s="202"/>
      <c r="BI76" s="202"/>
      <c r="BJ76" s="202"/>
      <c r="BK76" s="202"/>
      <c r="BL76" s="202"/>
      <c r="BM76" s="202"/>
      <c r="BN76" s="202"/>
      <c r="BO76" s="202"/>
      <c r="BP76" s="202"/>
      <c r="BQ76" s="202"/>
      <c r="BR76" s="202"/>
      <c r="BS76" s="202"/>
      <c r="BT76" s="202"/>
      <c r="BU76" s="202"/>
      <c r="BV76" s="202"/>
      <c r="BW76" s="202"/>
      <c r="BX76" s="202"/>
      <c r="BY76" s="202"/>
      <c r="BZ76" s="202"/>
      <c r="CA76" s="202"/>
      <c r="CB76" s="202"/>
      <c r="CC76" s="202"/>
      <c r="CD76" s="202"/>
      <c r="CE76" s="202"/>
      <c r="CF76" s="202"/>
      <c r="CG76" s="202"/>
      <c r="CH76" s="202"/>
      <c r="CI76" s="202"/>
    </row>
    <row r="77" spans="1:87" ht="15.75" customHeight="1">
      <c r="A77" s="40" t="s">
        <v>68</v>
      </c>
      <c r="B77" s="193">
        <f t="shared" si="3"/>
        <v>33797607933.699989</v>
      </c>
      <c r="C77" s="88"/>
      <c r="D77" s="198">
        <f t="shared" si="4"/>
        <v>300063.69999999995</v>
      </c>
      <c r="E77" s="202">
        <v>12003.8</v>
      </c>
      <c r="F77" s="201">
        <v>16858.8</v>
      </c>
      <c r="G77" s="202">
        <v>48168.800000000003</v>
      </c>
      <c r="H77" s="201">
        <v>75229.899999999994</v>
      </c>
      <c r="I77" s="202">
        <v>147802.4</v>
      </c>
      <c r="J77" s="74"/>
      <c r="K77" s="200">
        <v>41401830940</v>
      </c>
      <c r="L77" s="74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4">
        <v>57456631490</v>
      </c>
      <c r="X77" s="203">
        <v>65061154560.000008</v>
      </c>
      <c r="Y77" s="202">
        <f t="shared" si="2"/>
        <v>-7604523070.0000076</v>
      </c>
      <c r="Z77" s="202"/>
      <c r="AA77" s="202"/>
      <c r="AB77" s="202"/>
      <c r="AC77" s="202"/>
      <c r="AD77" s="202"/>
      <c r="AE77" s="202"/>
      <c r="AF77" s="202"/>
      <c r="AG77" s="202"/>
      <c r="AH77" s="202"/>
      <c r="AI77" s="202"/>
      <c r="AJ77" s="202"/>
      <c r="AK77" s="202"/>
      <c r="AL77" s="202"/>
      <c r="AM77" s="202"/>
      <c r="AN77" s="202"/>
      <c r="AO77" s="202"/>
      <c r="AP77" s="202"/>
      <c r="AQ77" s="202"/>
      <c r="AR77" s="202"/>
      <c r="AS77" s="202"/>
      <c r="AT77" s="202"/>
      <c r="AU77" s="202"/>
      <c r="AV77" s="202"/>
      <c r="AW77" s="202"/>
      <c r="AX77" s="202"/>
      <c r="AY77" s="202"/>
      <c r="AZ77" s="202"/>
      <c r="BA77" s="202"/>
      <c r="BB77" s="202"/>
      <c r="BC77" s="202"/>
      <c r="BD77" s="202"/>
      <c r="BE77" s="202"/>
      <c r="BF77" s="202"/>
      <c r="BG77" s="202"/>
      <c r="BH77" s="202"/>
      <c r="BI77" s="202"/>
      <c r="BJ77" s="202"/>
      <c r="BK77" s="202"/>
      <c r="BL77" s="202"/>
      <c r="BM77" s="202"/>
      <c r="BN77" s="202"/>
      <c r="BO77" s="202"/>
      <c r="BP77" s="202"/>
      <c r="BQ77" s="202"/>
      <c r="BR77" s="202"/>
      <c r="BS77" s="202"/>
      <c r="BT77" s="202"/>
      <c r="BU77" s="202"/>
      <c r="BV77" s="202"/>
      <c r="BW77" s="202"/>
      <c r="BX77" s="202"/>
      <c r="BY77" s="202"/>
      <c r="BZ77" s="202"/>
      <c r="CA77" s="202"/>
      <c r="CB77" s="202"/>
      <c r="CC77" s="202"/>
      <c r="CD77" s="202"/>
      <c r="CE77" s="202"/>
      <c r="CF77" s="202"/>
      <c r="CG77" s="202"/>
      <c r="CH77" s="202"/>
      <c r="CI77" s="202"/>
    </row>
    <row r="78" spans="1:87" ht="15.75" customHeight="1">
      <c r="A78" s="40" t="s">
        <v>69</v>
      </c>
      <c r="B78" s="193">
        <f t="shared" si="3"/>
        <v>33818167530.699997</v>
      </c>
      <c r="C78" s="88"/>
      <c r="D78" s="198">
        <f t="shared" si="4"/>
        <v>338610.7</v>
      </c>
      <c r="E78" s="202">
        <v>14470.4</v>
      </c>
      <c r="F78" s="201">
        <v>19772.900000000001</v>
      </c>
      <c r="G78" s="202">
        <v>57817.9</v>
      </c>
      <c r="H78" s="201">
        <v>79709.3</v>
      </c>
      <c r="I78" s="202">
        <v>166840.20000000001</v>
      </c>
      <c r="J78" s="74"/>
      <c r="K78" s="200">
        <v>42627117410</v>
      </c>
      <c r="L78" s="74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4">
        <v>63261992640</v>
      </c>
      <c r="X78" s="203">
        <v>72071281130</v>
      </c>
      <c r="Y78" s="202">
        <f t="shared" si="2"/>
        <v>-8809288490</v>
      </c>
      <c r="Z78" s="202"/>
      <c r="AA78" s="202"/>
      <c r="AB78" s="202"/>
      <c r="AC78" s="202"/>
      <c r="AD78" s="202"/>
      <c r="AE78" s="202"/>
      <c r="AF78" s="202"/>
      <c r="AG78" s="202"/>
      <c r="AH78" s="202"/>
      <c r="AI78" s="202"/>
      <c r="AJ78" s="202"/>
      <c r="AK78" s="202"/>
      <c r="AL78" s="202"/>
      <c r="AM78" s="202"/>
      <c r="AN78" s="202"/>
      <c r="AO78" s="202"/>
      <c r="AP78" s="202"/>
      <c r="AQ78" s="202"/>
      <c r="AR78" s="202"/>
      <c r="AS78" s="202"/>
      <c r="AT78" s="202"/>
      <c r="AU78" s="202"/>
      <c r="AV78" s="202"/>
      <c r="AW78" s="202"/>
      <c r="AX78" s="202"/>
      <c r="AY78" s="202"/>
      <c r="AZ78" s="202"/>
      <c r="BA78" s="202"/>
      <c r="BB78" s="202"/>
      <c r="BC78" s="202"/>
      <c r="BD78" s="202"/>
      <c r="BE78" s="202"/>
      <c r="BF78" s="202"/>
      <c r="BG78" s="202"/>
      <c r="BH78" s="202"/>
      <c r="BI78" s="202"/>
      <c r="BJ78" s="202"/>
      <c r="BK78" s="202"/>
      <c r="BL78" s="202"/>
      <c r="BM78" s="202"/>
      <c r="BN78" s="202"/>
      <c r="BO78" s="202"/>
      <c r="BP78" s="202"/>
      <c r="BQ78" s="202"/>
      <c r="BR78" s="202"/>
      <c r="BS78" s="202"/>
      <c r="BT78" s="202"/>
      <c r="BU78" s="202"/>
      <c r="BV78" s="202"/>
      <c r="BW78" s="202"/>
      <c r="BX78" s="202"/>
      <c r="BY78" s="202"/>
      <c r="BZ78" s="202"/>
      <c r="CA78" s="202"/>
      <c r="CB78" s="202"/>
      <c r="CC78" s="202"/>
      <c r="CD78" s="202"/>
      <c r="CE78" s="202"/>
      <c r="CF78" s="202"/>
      <c r="CG78" s="202"/>
      <c r="CH78" s="202"/>
      <c r="CI78" s="202"/>
    </row>
    <row r="79" spans="1:87" ht="15.75" customHeight="1">
      <c r="A79" s="40" t="s">
        <v>70</v>
      </c>
      <c r="B79" s="193">
        <f t="shared" si="3"/>
        <v>29346809222.099998</v>
      </c>
      <c r="C79" s="88"/>
      <c r="D79" s="198">
        <f t="shared" si="4"/>
        <v>394172.1</v>
      </c>
      <c r="E79" s="202">
        <v>14482.6</v>
      </c>
      <c r="F79" s="201">
        <v>20155.3</v>
      </c>
      <c r="G79" s="202">
        <v>79079.899999999994</v>
      </c>
      <c r="H79" s="201">
        <v>85003.1</v>
      </c>
      <c r="I79" s="202">
        <v>195451.2</v>
      </c>
      <c r="J79" s="74"/>
      <c r="K79" s="200">
        <v>44421898300</v>
      </c>
      <c r="L79" s="74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4">
        <v>61734911860</v>
      </c>
      <c r="X79" s="203">
        <v>76810395110</v>
      </c>
      <c r="Y79" s="202">
        <f t="shared" si="2"/>
        <v>-15075483250</v>
      </c>
      <c r="Z79" s="202"/>
      <c r="AA79" s="202"/>
      <c r="AB79" s="202"/>
      <c r="AC79" s="202"/>
      <c r="AD79" s="202"/>
      <c r="AE79" s="202"/>
      <c r="AF79" s="202"/>
      <c r="AG79" s="202"/>
      <c r="AH79" s="202"/>
      <c r="AI79" s="202"/>
      <c r="AJ79" s="202"/>
      <c r="AK79" s="202"/>
      <c r="AL79" s="202"/>
      <c r="AM79" s="202"/>
      <c r="AN79" s="202"/>
      <c r="AO79" s="202"/>
      <c r="AP79" s="202"/>
      <c r="AQ79" s="202"/>
      <c r="AR79" s="202"/>
      <c r="AS79" s="202"/>
      <c r="AT79" s="202"/>
      <c r="AU79" s="202"/>
      <c r="AV79" s="202"/>
      <c r="AW79" s="202"/>
      <c r="AX79" s="202"/>
      <c r="AY79" s="202"/>
      <c r="AZ79" s="202"/>
      <c r="BA79" s="202"/>
      <c r="BB79" s="202"/>
      <c r="BC79" s="202"/>
      <c r="BD79" s="202"/>
      <c r="BE79" s="202"/>
      <c r="BF79" s="202"/>
      <c r="BG79" s="202"/>
      <c r="BH79" s="202"/>
      <c r="BI79" s="202"/>
      <c r="BJ79" s="202"/>
      <c r="BK79" s="202"/>
      <c r="BL79" s="202"/>
      <c r="BM79" s="202"/>
      <c r="BN79" s="202"/>
      <c r="BO79" s="202"/>
      <c r="BP79" s="202"/>
      <c r="BQ79" s="202"/>
      <c r="BR79" s="202"/>
      <c r="BS79" s="202"/>
      <c r="BT79" s="202"/>
      <c r="BU79" s="202"/>
      <c r="BV79" s="202"/>
      <c r="BW79" s="202"/>
      <c r="BX79" s="202"/>
      <c r="BY79" s="202"/>
      <c r="BZ79" s="202"/>
      <c r="CA79" s="202"/>
      <c r="CB79" s="202"/>
      <c r="CC79" s="202"/>
      <c r="CD79" s="202"/>
      <c r="CE79" s="202"/>
      <c r="CF79" s="202"/>
      <c r="CG79" s="202"/>
      <c r="CH79" s="202"/>
      <c r="CI79" s="202"/>
    </row>
    <row r="80" spans="1:87" ht="15.75" customHeight="1">
      <c r="A80" s="40" t="s">
        <v>71</v>
      </c>
      <c r="B80" s="193">
        <f t="shared" si="3"/>
        <v>26441800920.800003</v>
      </c>
      <c r="C80" s="88"/>
      <c r="D80" s="198">
        <f t="shared" si="4"/>
        <v>375040.8</v>
      </c>
      <c r="E80" s="202">
        <v>18909.400000000001</v>
      </c>
      <c r="F80" s="201">
        <v>20018.2</v>
      </c>
      <c r="G80" s="202">
        <v>62600.9</v>
      </c>
      <c r="H80" s="201">
        <v>87438.399999999994</v>
      </c>
      <c r="I80" s="202">
        <v>186073.9</v>
      </c>
      <c r="J80" s="74"/>
      <c r="K80" s="200">
        <v>45234082450</v>
      </c>
      <c r="L80" s="74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4">
        <v>65022830400</v>
      </c>
      <c r="X80" s="203">
        <v>83815486970</v>
      </c>
      <c r="Y80" s="202">
        <f t="shared" si="2"/>
        <v>-18792656570</v>
      </c>
      <c r="Z80" s="202"/>
      <c r="AA80" s="202"/>
      <c r="AB80" s="202"/>
      <c r="AC80" s="202"/>
      <c r="AD80" s="202"/>
      <c r="AE80" s="202"/>
      <c r="AF80" s="202"/>
      <c r="AG80" s="202"/>
      <c r="AH80" s="202"/>
      <c r="AI80" s="202"/>
      <c r="AJ80" s="202"/>
      <c r="AK80" s="202"/>
      <c r="AL80" s="202"/>
      <c r="AM80" s="202"/>
      <c r="AN80" s="202"/>
      <c r="AO80" s="202"/>
      <c r="AP80" s="202"/>
      <c r="AQ80" s="202"/>
      <c r="AR80" s="202"/>
      <c r="AS80" s="202"/>
      <c r="AT80" s="202"/>
      <c r="AU80" s="202"/>
      <c r="AV80" s="202"/>
      <c r="AW80" s="202"/>
      <c r="AX80" s="202"/>
      <c r="AY80" s="202"/>
      <c r="AZ80" s="202"/>
      <c r="BA80" s="202"/>
      <c r="BB80" s="202"/>
      <c r="BC80" s="202"/>
      <c r="BD80" s="202"/>
      <c r="BE80" s="202"/>
      <c r="BF80" s="202"/>
      <c r="BG80" s="202"/>
      <c r="BH80" s="202"/>
      <c r="BI80" s="202"/>
      <c r="BJ80" s="202"/>
      <c r="BK80" s="202"/>
      <c r="BL80" s="202"/>
      <c r="BM80" s="202"/>
      <c r="BN80" s="202"/>
      <c r="BO80" s="202"/>
      <c r="BP80" s="202"/>
      <c r="BQ80" s="202"/>
      <c r="BR80" s="202"/>
      <c r="BS80" s="202"/>
      <c r="BT80" s="202"/>
      <c r="BU80" s="202"/>
      <c r="BV80" s="202"/>
      <c r="BW80" s="202"/>
      <c r="BX80" s="202"/>
      <c r="BY80" s="202"/>
      <c r="BZ80" s="202"/>
      <c r="CA80" s="202"/>
      <c r="CB80" s="202"/>
      <c r="CC80" s="202"/>
      <c r="CD80" s="202"/>
      <c r="CE80" s="202"/>
      <c r="CF80" s="202"/>
      <c r="CG80" s="202"/>
      <c r="CH80" s="202"/>
      <c r="CI80" s="202"/>
    </row>
    <row r="81" spans="1:87" ht="15.75" customHeight="1">
      <c r="A81" s="40" t="s">
        <v>72</v>
      </c>
      <c r="B81" s="193">
        <f t="shared" si="3"/>
        <v>20502315659.900002</v>
      </c>
      <c r="C81" s="88"/>
      <c r="D81" s="198">
        <f t="shared" si="4"/>
        <v>359659.9</v>
      </c>
      <c r="E81" s="202">
        <v>16529.5</v>
      </c>
      <c r="F81" s="201">
        <v>23137.9</v>
      </c>
      <c r="G81" s="202">
        <v>55977.4</v>
      </c>
      <c r="H81" s="201">
        <v>84085.8</v>
      </c>
      <c r="I81" s="202">
        <v>179929.3</v>
      </c>
      <c r="J81" s="74"/>
      <c r="K81" s="200">
        <v>46074748340</v>
      </c>
      <c r="L81" s="74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4">
        <v>71985086070</v>
      </c>
      <c r="X81" s="203">
        <v>97557878410</v>
      </c>
      <c r="Y81" s="202">
        <f t="shared" si="2"/>
        <v>-25572792340</v>
      </c>
      <c r="Z81" s="202"/>
      <c r="AA81" s="202"/>
      <c r="AB81" s="202"/>
      <c r="AC81" s="202"/>
      <c r="AD81" s="202"/>
      <c r="AE81" s="202"/>
      <c r="AF81" s="202"/>
      <c r="AG81" s="202"/>
      <c r="AH81" s="202"/>
      <c r="AI81" s="202"/>
      <c r="AJ81" s="202"/>
      <c r="AK81" s="202"/>
      <c r="AL81" s="202"/>
      <c r="AM81" s="202"/>
      <c r="AN81" s="202"/>
      <c r="AO81" s="202"/>
      <c r="AP81" s="202"/>
      <c r="AQ81" s="202"/>
      <c r="AR81" s="202"/>
      <c r="AS81" s="202"/>
      <c r="AT81" s="202"/>
      <c r="AU81" s="202"/>
      <c r="AV81" s="202"/>
      <c r="AW81" s="202"/>
      <c r="AX81" s="202"/>
      <c r="AY81" s="202"/>
      <c r="AZ81" s="202"/>
      <c r="BA81" s="202"/>
      <c r="BB81" s="202"/>
      <c r="BC81" s="202"/>
      <c r="BD81" s="202"/>
      <c r="BE81" s="202"/>
      <c r="BF81" s="202"/>
      <c r="BG81" s="202"/>
      <c r="BH81" s="202"/>
      <c r="BI81" s="202"/>
      <c r="BJ81" s="202"/>
      <c r="BK81" s="202"/>
      <c r="BL81" s="202"/>
      <c r="BM81" s="202"/>
      <c r="BN81" s="202"/>
      <c r="BO81" s="202"/>
      <c r="BP81" s="202"/>
      <c r="BQ81" s="202"/>
      <c r="BR81" s="202"/>
      <c r="BS81" s="202"/>
      <c r="BT81" s="202"/>
      <c r="BU81" s="202"/>
      <c r="BV81" s="202"/>
      <c r="BW81" s="202"/>
      <c r="BX81" s="202"/>
      <c r="BY81" s="202"/>
      <c r="BZ81" s="202"/>
      <c r="CA81" s="202"/>
      <c r="CB81" s="202"/>
      <c r="CC81" s="202"/>
      <c r="CD81" s="202"/>
      <c r="CE81" s="202"/>
      <c r="CF81" s="202"/>
      <c r="CG81" s="202"/>
      <c r="CH81" s="202"/>
      <c r="CI81" s="202"/>
    </row>
    <row r="82" spans="1:87" ht="15.75" customHeight="1">
      <c r="A82" s="40" t="s">
        <v>73</v>
      </c>
      <c r="B82" s="193">
        <f t="shared" si="3"/>
        <v>19288985788.599998</v>
      </c>
      <c r="C82" s="88"/>
      <c r="D82" s="198">
        <f t="shared" si="4"/>
        <v>399958.6</v>
      </c>
      <c r="E82" s="202">
        <v>19098.900000000001</v>
      </c>
      <c r="F82" s="201">
        <v>23366.5</v>
      </c>
      <c r="G82" s="202">
        <v>65328.2</v>
      </c>
      <c r="H82" s="201">
        <v>89968.1</v>
      </c>
      <c r="I82" s="202">
        <v>202196.9</v>
      </c>
      <c r="J82" s="74"/>
      <c r="K82" s="200">
        <v>46973920890</v>
      </c>
      <c r="L82" s="74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4">
        <v>74966462240</v>
      </c>
      <c r="X82" s="203">
        <v>102651797300</v>
      </c>
      <c r="Y82" s="202">
        <f t="shared" si="2"/>
        <v>-27685335060</v>
      </c>
      <c r="Z82" s="202"/>
      <c r="AA82" s="202"/>
      <c r="AB82" s="202"/>
      <c r="AC82" s="202"/>
      <c r="AD82" s="202"/>
      <c r="AE82" s="202"/>
      <c r="AF82" s="202"/>
      <c r="AG82" s="202"/>
      <c r="AH82" s="202"/>
      <c r="AI82" s="202"/>
      <c r="AJ82" s="202"/>
      <c r="AK82" s="202"/>
      <c r="AL82" s="202"/>
      <c r="AM82" s="202"/>
      <c r="AN82" s="202"/>
      <c r="AO82" s="202"/>
      <c r="AP82" s="202"/>
      <c r="AQ82" s="202"/>
      <c r="AR82" s="202"/>
      <c r="AS82" s="202"/>
      <c r="AT82" s="202"/>
      <c r="AU82" s="202"/>
      <c r="AV82" s="202"/>
      <c r="AW82" s="202"/>
      <c r="AX82" s="202"/>
      <c r="AY82" s="202"/>
      <c r="AZ82" s="202"/>
      <c r="BA82" s="202"/>
      <c r="BB82" s="202"/>
      <c r="BC82" s="202"/>
      <c r="BD82" s="202"/>
      <c r="BE82" s="202"/>
      <c r="BF82" s="202"/>
      <c r="BG82" s="202"/>
      <c r="BH82" s="202"/>
      <c r="BI82" s="202"/>
      <c r="BJ82" s="202"/>
      <c r="BK82" s="202"/>
      <c r="BL82" s="202"/>
      <c r="BM82" s="202"/>
      <c r="BN82" s="202"/>
      <c r="BO82" s="202"/>
      <c r="BP82" s="202"/>
      <c r="BQ82" s="202"/>
      <c r="BR82" s="202"/>
      <c r="BS82" s="202"/>
      <c r="BT82" s="202"/>
      <c r="BU82" s="202"/>
      <c r="BV82" s="202"/>
      <c r="BW82" s="202"/>
      <c r="BX82" s="202"/>
      <c r="BY82" s="202"/>
      <c r="BZ82" s="202"/>
      <c r="CA82" s="202"/>
      <c r="CB82" s="202"/>
      <c r="CC82" s="202"/>
      <c r="CD82" s="202"/>
      <c r="CE82" s="202"/>
      <c r="CF82" s="202"/>
      <c r="CG82" s="202"/>
      <c r="CH82" s="202"/>
      <c r="CI82" s="202"/>
    </row>
    <row r="83" spans="1:87" ht="15.75" customHeight="1">
      <c r="A83" s="40" t="s">
        <v>74</v>
      </c>
      <c r="B83" s="193">
        <f t="shared" si="3"/>
        <v>20825080286</v>
      </c>
      <c r="C83" s="88"/>
      <c r="D83" s="198">
        <f t="shared" si="4"/>
        <v>447356</v>
      </c>
      <c r="E83" s="202">
        <v>17801.8</v>
      </c>
      <c r="F83" s="201">
        <v>25012.9</v>
      </c>
      <c r="G83" s="202">
        <v>82795.899999999994</v>
      </c>
      <c r="H83" s="201">
        <v>92516.800000000003</v>
      </c>
      <c r="I83" s="202">
        <v>229228.6</v>
      </c>
      <c r="J83" s="74"/>
      <c r="K83" s="200">
        <v>46996409100</v>
      </c>
      <c r="L83" s="74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4">
        <v>87437749730</v>
      </c>
      <c r="X83" s="203">
        <v>113609525900</v>
      </c>
      <c r="Y83" s="202">
        <f t="shared" si="2"/>
        <v>-26171776170</v>
      </c>
      <c r="Z83" s="202"/>
      <c r="AA83" s="202"/>
      <c r="AB83" s="202"/>
      <c r="AC83" s="202"/>
      <c r="AD83" s="202"/>
      <c r="AE83" s="202"/>
      <c r="AF83" s="202"/>
      <c r="AG83" s="202"/>
      <c r="AH83" s="202"/>
      <c r="AI83" s="202"/>
      <c r="AJ83" s="202"/>
      <c r="AK83" s="202"/>
      <c r="AL83" s="202"/>
      <c r="AM83" s="202"/>
      <c r="AN83" s="202"/>
      <c r="AO83" s="202"/>
      <c r="AP83" s="202"/>
      <c r="AQ83" s="202"/>
      <c r="AR83" s="202"/>
      <c r="AS83" s="202"/>
      <c r="AT83" s="202"/>
      <c r="AU83" s="202"/>
      <c r="AV83" s="202"/>
      <c r="AW83" s="202"/>
      <c r="AX83" s="202"/>
      <c r="AY83" s="202"/>
      <c r="AZ83" s="202"/>
      <c r="BA83" s="202"/>
      <c r="BB83" s="202"/>
      <c r="BC83" s="202"/>
      <c r="BD83" s="202"/>
      <c r="BE83" s="202"/>
      <c r="BF83" s="202"/>
      <c r="BG83" s="202"/>
      <c r="BH83" s="202"/>
      <c r="BI83" s="202"/>
      <c r="BJ83" s="202"/>
      <c r="BK83" s="202"/>
      <c r="BL83" s="202"/>
      <c r="BM83" s="202"/>
      <c r="BN83" s="202"/>
      <c r="BO83" s="202"/>
      <c r="BP83" s="202"/>
      <c r="BQ83" s="202"/>
      <c r="BR83" s="202"/>
      <c r="BS83" s="202"/>
      <c r="BT83" s="202"/>
      <c r="BU83" s="202"/>
      <c r="BV83" s="202"/>
      <c r="BW83" s="202"/>
      <c r="BX83" s="202"/>
      <c r="BY83" s="202"/>
      <c r="BZ83" s="202"/>
      <c r="CA83" s="202"/>
      <c r="CB83" s="202"/>
      <c r="CC83" s="202"/>
      <c r="CD83" s="202"/>
      <c r="CE83" s="202"/>
      <c r="CF83" s="202"/>
      <c r="CG83" s="202"/>
      <c r="CH83" s="202"/>
      <c r="CI83" s="202"/>
    </row>
    <row r="84" spans="1:87" ht="15.75" customHeight="1">
      <c r="A84" s="40" t="s">
        <v>75</v>
      </c>
      <c r="B84" s="193">
        <f t="shared" si="3"/>
        <v>27665035933</v>
      </c>
      <c r="C84" s="88"/>
      <c r="D84" s="198">
        <f t="shared" si="4"/>
        <v>431313</v>
      </c>
      <c r="E84" s="202">
        <v>19788.599999999999</v>
      </c>
      <c r="F84" s="201">
        <v>23775.3</v>
      </c>
      <c r="G84" s="202">
        <v>68534.600000000006</v>
      </c>
      <c r="H84" s="201">
        <v>94658.7</v>
      </c>
      <c r="I84" s="202">
        <v>224555.8</v>
      </c>
      <c r="J84" s="74"/>
      <c r="K84" s="200">
        <v>51030067210</v>
      </c>
      <c r="L84" s="74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4">
        <v>88655560610</v>
      </c>
      <c r="X84" s="203">
        <v>112021023200</v>
      </c>
      <c r="Y84" s="202">
        <f t="shared" si="2"/>
        <v>-23365462590</v>
      </c>
      <c r="Z84" s="202"/>
      <c r="AA84" s="202"/>
      <c r="AB84" s="202"/>
      <c r="AC84" s="202"/>
      <c r="AD84" s="202"/>
      <c r="AE84" s="202"/>
      <c r="AF84" s="202"/>
      <c r="AG84" s="202"/>
      <c r="AH84" s="202"/>
      <c r="AI84" s="202"/>
      <c r="AJ84" s="202"/>
      <c r="AK84" s="202"/>
      <c r="AL84" s="202"/>
      <c r="AM84" s="202"/>
      <c r="AN84" s="202"/>
      <c r="AO84" s="202"/>
      <c r="AP84" s="202"/>
      <c r="AQ84" s="202"/>
      <c r="AR84" s="202"/>
      <c r="AS84" s="202"/>
      <c r="AT84" s="202"/>
      <c r="AU84" s="202"/>
      <c r="AV84" s="202"/>
      <c r="AW84" s="202"/>
      <c r="AX84" s="202"/>
      <c r="AY84" s="202"/>
      <c r="AZ84" s="202"/>
      <c r="BA84" s="202"/>
      <c r="BB84" s="202"/>
      <c r="BC84" s="202"/>
      <c r="BD84" s="202"/>
      <c r="BE84" s="202"/>
      <c r="BF84" s="202"/>
      <c r="BG84" s="202"/>
      <c r="BH84" s="202"/>
      <c r="BI84" s="202"/>
      <c r="BJ84" s="202"/>
      <c r="BK84" s="202"/>
      <c r="BL84" s="202"/>
      <c r="BM84" s="202"/>
      <c r="BN84" s="202"/>
      <c r="BO84" s="202"/>
      <c r="BP84" s="202"/>
      <c r="BQ84" s="202"/>
      <c r="BR84" s="202"/>
      <c r="BS84" s="202"/>
      <c r="BT84" s="202"/>
      <c r="BU84" s="202"/>
      <c r="BV84" s="202"/>
      <c r="BW84" s="202"/>
      <c r="BX84" s="202"/>
      <c r="BY84" s="202"/>
      <c r="BZ84" s="202"/>
      <c r="CA84" s="202"/>
      <c r="CB84" s="202"/>
      <c r="CC84" s="202"/>
      <c r="CD84" s="202"/>
      <c r="CE84" s="202"/>
      <c r="CF84" s="202"/>
      <c r="CG84" s="202"/>
      <c r="CH84" s="202"/>
      <c r="CI84" s="202"/>
    </row>
    <row r="85" spans="1:87" ht="15.75" customHeight="1">
      <c r="A85" s="40" t="s">
        <v>76</v>
      </c>
      <c r="B85" s="193">
        <f t="shared" si="3"/>
        <v>29159906635.900002</v>
      </c>
      <c r="C85" s="88"/>
      <c r="D85" s="198">
        <f t="shared" si="4"/>
        <v>391855.9</v>
      </c>
      <c r="E85" s="202">
        <v>15596.4</v>
      </c>
      <c r="F85" s="201">
        <v>24269.3</v>
      </c>
      <c r="G85" s="202">
        <v>61055.8</v>
      </c>
      <c r="H85" s="201">
        <v>85587.8</v>
      </c>
      <c r="I85" s="202">
        <v>205346.6</v>
      </c>
      <c r="J85" s="74"/>
      <c r="K85" s="200">
        <v>51170307400</v>
      </c>
      <c r="L85" s="74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4">
        <v>88913485080</v>
      </c>
      <c r="X85" s="203">
        <v>110924277700</v>
      </c>
      <c r="Y85" s="202">
        <f t="shared" si="2"/>
        <v>-22010792620</v>
      </c>
      <c r="Z85" s="202"/>
      <c r="AA85" s="202"/>
      <c r="AB85" s="202"/>
      <c r="AC85" s="202"/>
      <c r="AD85" s="202"/>
      <c r="AE85" s="202"/>
      <c r="AF85" s="202"/>
      <c r="AG85" s="202"/>
      <c r="AH85" s="202"/>
      <c r="AI85" s="202"/>
      <c r="AJ85" s="202"/>
      <c r="AK85" s="202"/>
      <c r="AL85" s="202"/>
      <c r="AM85" s="202"/>
      <c r="AN85" s="202"/>
      <c r="AO85" s="202"/>
      <c r="AP85" s="202"/>
      <c r="AQ85" s="202"/>
      <c r="AR85" s="202"/>
      <c r="AS85" s="202"/>
      <c r="AT85" s="202"/>
      <c r="AU85" s="202"/>
      <c r="AV85" s="202"/>
      <c r="AW85" s="202"/>
      <c r="AX85" s="202"/>
      <c r="AY85" s="202"/>
      <c r="AZ85" s="202"/>
      <c r="BA85" s="202"/>
      <c r="BB85" s="202"/>
      <c r="BC85" s="202"/>
      <c r="BD85" s="202"/>
      <c r="BE85" s="202"/>
      <c r="BF85" s="202"/>
      <c r="BG85" s="202"/>
      <c r="BH85" s="202"/>
      <c r="BI85" s="202"/>
      <c r="BJ85" s="202"/>
      <c r="BK85" s="202"/>
      <c r="BL85" s="202"/>
      <c r="BM85" s="202"/>
      <c r="BN85" s="202"/>
      <c r="BO85" s="202"/>
      <c r="BP85" s="202"/>
      <c r="BQ85" s="202"/>
      <c r="BR85" s="202"/>
      <c r="BS85" s="202"/>
      <c r="BT85" s="202"/>
      <c r="BU85" s="202"/>
      <c r="BV85" s="202"/>
      <c r="BW85" s="202"/>
      <c r="BX85" s="202"/>
      <c r="BY85" s="202"/>
      <c r="BZ85" s="202"/>
      <c r="CA85" s="202"/>
      <c r="CB85" s="202"/>
      <c r="CC85" s="202"/>
      <c r="CD85" s="202"/>
      <c r="CE85" s="202"/>
      <c r="CF85" s="202"/>
      <c r="CG85" s="202"/>
      <c r="CH85" s="202"/>
      <c r="CI85" s="202"/>
    </row>
    <row r="86" spans="1:87" ht="15.75" customHeight="1">
      <c r="A86" s="40" t="s">
        <v>77</v>
      </c>
      <c r="B86" s="193">
        <f t="shared" si="3"/>
        <v>39907166233.800003</v>
      </c>
      <c r="C86" s="88"/>
      <c r="D86" s="198">
        <f t="shared" si="4"/>
        <v>429823.8</v>
      </c>
      <c r="E86" s="202">
        <v>19039.5</v>
      </c>
      <c r="F86" s="201">
        <v>23123.3</v>
      </c>
      <c r="G86" s="202">
        <v>66515.199999999997</v>
      </c>
      <c r="H86" s="201">
        <v>93847.4</v>
      </c>
      <c r="I86" s="202">
        <v>227298.4</v>
      </c>
      <c r="J86" s="74"/>
      <c r="K86" s="200">
        <v>56177446370</v>
      </c>
      <c r="L86" s="74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4">
        <v>97721873440</v>
      </c>
      <c r="X86" s="203">
        <v>113992583400</v>
      </c>
      <c r="Y86" s="202">
        <f t="shared" si="2"/>
        <v>-16270709960</v>
      </c>
      <c r="Z86" s="202"/>
      <c r="AA86" s="202"/>
      <c r="AB86" s="202"/>
      <c r="AC86" s="202"/>
      <c r="AD86" s="202"/>
      <c r="AE86" s="202"/>
      <c r="AF86" s="202"/>
      <c r="AG86" s="202"/>
      <c r="AH86" s="202"/>
      <c r="AI86" s="202"/>
      <c r="AJ86" s="202"/>
      <c r="AK86" s="202"/>
      <c r="AL86" s="202"/>
      <c r="AM86" s="202"/>
      <c r="AN86" s="202"/>
      <c r="AO86" s="202"/>
      <c r="AP86" s="202"/>
      <c r="AQ86" s="202"/>
      <c r="AR86" s="202"/>
      <c r="AS86" s="202"/>
      <c r="AT86" s="202"/>
      <c r="AU86" s="202"/>
      <c r="AV86" s="202"/>
      <c r="AW86" s="202"/>
      <c r="AX86" s="202"/>
      <c r="AY86" s="202"/>
      <c r="AZ86" s="202"/>
      <c r="BA86" s="202"/>
      <c r="BB86" s="202"/>
      <c r="BC86" s="202"/>
      <c r="BD86" s="202"/>
      <c r="BE86" s="202"/>
      <c r="BF86" s="202"/>
      <c r="BG86" s="202"/>
      <c r="BH86" s="202"/>
      <c r="BI86" s="202"/>
      <c r="BJ86" s="202"/>
      <c r="BK86" s="202"/>
      <c r="BL86" s="202"/>
      <c r="BM86" s="202"/>
      <c r="BN86" s="202"/>
      <c r="BO86" s="202"/>
      <c r="BP86" s="202"/>
      <c r="BQ86" s="202"/>
      <c r="BR86" s="202"/>
      <c r="BS86" s="202"/>
      <c r="BT86" s="202"/>
      <c r="BU86" s="202"/>
      <c r="BV86" s="202"/>
      <c r="BW86" s="202"/>
      <c r="BX86" s="202"/>
      <c r="BY86" s="202"/>
      <c r="BZ86" s="202"/>
      <c r="CA86" s="202"/>
      <c r="CB86" s="202"/>
      <c r="CC86" s="202"/>
      <c r="CD86" s="202"/>
      <c r="CE86" s="202"/>
      <c r="CF86" s="202"/>
      <c r="CG86" s="202"/>
      <c r="CH86" s="202"/>
      <c r="CI86" s="202"/>
    </row>
    <row r="87" spans="1:87" ht="15.75" customHeight="1">
      <c r="A87" s="40" t="s">
        <v>78</v>
      </c>
      <c r="B87" s="193">
        <f t="shared" si="3"/>
        <v>42580232041.599998</v>
      </c>
      <c r="C87" s="88"/>
      <c r="D87" s="198">
        <f t="shared" si="4"/>
        <v>478041.59999999998</v>
      </c>
      <c r="E87" s="202">
        <v>17876.3</v>
      </c>
      <c r="F87" s="201">
        <v>24778.1</v>
      </c>
      <c r="G87" s="202">
        <v>83205.2</v>
      </c>
      <c r="H87" s="201">
        <v>96918.3</v>
      </c>
      <c r="I87" s="202">
        <v>255263.7</v>
      </c>
      <c r="J87" s="74"/>
      <c r="K87" s="200">
        <v>57824582560</v>
      </c>
      <c r="L87" s="74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4">
        <v>98692655940</v>
      </c>
      <c r="X87" s="203">
        <v>113937484500</v>
      </c>
      <c r="Y87" s="202">
        <f t="shared" si="2"/>
        <v>-15244828560</v>
      </c>
      <c r="Z87" s="202"/>
      <c r="AA87" s="202"/>
      <c r="AB87" s="202"/>
      <c r="AC87" s="202"/>
      <c r="AD87" s="202"/>
      <c r="AE87" s="202"/>
      <c r="AF87" s="202"/>
      <c r="AG87" s="202"/>
      <c r="AH87" s="202"/>
      <c r="AI87" s="202"/>
      <c r="AJ87" s="202"/>
      <c r="AK87" s="202"/>
      <c r="AL87" s="202"/>
      <c r="AM87" s="202"/>
      <c r="AN87" s="202"/>
      <c r="AO87" s="202"/>
      <c r="AP87" s="202"/>
      <c r="AQ87" s="202"/>
      <c r="AR87" s="202"/>
      <c r="AS87" s="202"/>
      <c r="AT87" s="202"/>
      <c r="AU87" s="202"/>
      <c r="AV87" s="202"/>
      <c r="AW87" s="202"/>
      <c r="AX87" s="202"/>
      <c r="AY87" s="202"/>
      <c r="AZ87" s="202"/>
      <c r="BA87" s="202"/>
      <c r="BB87" s="202"/>
      <c r="BC87" s="202"/>
      <c r="BD87" s="202"/>
      <c r="BE87" s="202"/>
      <c r="BF87" s="202"/>
      <c r="BG87" s="202"/>
      <c r="BH87" s="202"/>
      <c r="BI87" s="202"/>
      <c r="BJ87" s="202"/>
      <c r="BK87" s="202"/>
      <c r="BL87" s="202"/>
      <c r="BM87" s="202"/>
      <c r="BN87" s="202"/>
      <c r="BO87" s="202"/>
      <c r="BP87" s="202"/>
      <c r="BQ87" s="202"/>
      <c r="BR87" s="202"/>
      <c r="BS87" s="202"/>
      <c r="BT87" s="202"/>
      <c r="BU87" s="202"/>
      <c r="BV87" s="202"/>
      <c r="BW87" s="202"/>
      <c r="BX87" s="202"/>
      <c r="BY87" s="202"/>
      <c r="BZ87" s="202"/>
      <c r="CA87" s="202"/>
      <c r="CB87" s="202"/>
      <c r="CC87" s="202"/>
      <c r="CD87" s="202"/>
      <c r="CE87" s="202"/>
      <c r="CF87" s="202"/>
      <c r="CG87" s="202"/>
      <c r="CH87" s="202"/>
      <c r="CI87" s="202"/>
    </row>
    <row r="88" spans="1:87" ht="15.75" customHeight="1">
      <c r="A88" s="40" t="s">
        <v>79</v>
      </c>
      <c r="B88" s="193">
        <f t="shared" si="3"/>
        <v>46772362973.099998</v>
      </c>
      <c r="C88" s="88"/>
      <c r="D88" s="198">
        <f t="shared" si="4"/>
        <v>464333.1</v>
      </c>
      <c r="E88" s="202">
        <v>21628.9</v>
      </c>
      <c r="F88" s="201">
        <v>23720.3</v>
      </c>
      <c r="G88" s="202">
        <v>71171.100000000006</v>
      </c>
      <c r="H88" s="201">
        <v>100744.9</v>
      </c>
      <c r="I88" s="202">
        <v>247067.9</v>
      </c>
      <c r="J88" s="74"/>
      <c r="K88" s="200">
        <v>58229366140</v>
      </c>
      <c r="L88" s="74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4">
        <v>99934177200</v>
      </c>
      <c r="X88" s="203">
        <v>111391644700</v>
      </c>
      <c r="Y88" s="202">
        <f t="shared" si="2"/>
        <v>-11457467500</v>
      </c>
      <c r="Z88" s="202"/>
      <c r="AA88" s="202"/>
      <c r="AB88" s="202"/>
      <c r="AC88" s="202"/>
      <c r="AD88" s="202"/>
      <c r="AE88" s="202"/>
      <c r="AF88" s="202"/>
      <c r="AG88" s="202"/>
      <c r="AH88" s="202"/>
      <c r="AI88" s="202"/>
      <c r="AJ88" s="202"/>
      <c r="AK88" s="202"/>
      <c r="AL88" s="202"/>
      <c r="AM88" s="202"/>
      <c r="AN88" s="202"/>
      <c r="AO88" s="202"/>
      <c r="AP88" s="202"/>
      <c r="AQ88" s="202"/>
      <c r="AR88" s="202"/>
      <c r="AS88" s="202"/>
      <c r="AT88" s="202"/>
      <c r="AU88" s="202"/>
      <c r="AV88" s="202"/>
      <c r="AW88" s="202"/>
      <c r="AX88" s="202"/>
      <c r="AY88" s="202"/>
      <c r="AZ88" s="202"/>
      <c r="BA88" s="202"/>
      <c r="BB88" s="202"/>
      <c r="BC88" s="202"/>
      <c r="BD88" s="202"/>
      <c r="BE88" s="202"/>
      <c r="BF88" s="202"/>
      <c r="BG88" s="202"/>
      <c r="BH88" s="202"/>
      <c r="BI88" s="202"/>
      <c r="BJ88" s="202"/>
      <c r="BK88" s="202"/>
      <c r="BL88" s="202"/>
      <c r="BM88" s="202"/>
      <c r="BN88" s="202"/>
      <c r="BO88" s="202"/>
      <c r="BP88" s="202"/>
      <c r="BQ88" s="202"/>
      <c r="BR88" s="202"/>
      <c r="BS88" s="202"/>
      <c r="BT88" s="202"/>
      <c r="BU88" s="202"/>
      <c r="BV88" s="202"/>
      <c r="BW88" s="202"/>
      <c r="BX88" s="202"/>
      <c r="BY88" s="202"/>
      <c r="BZ88" s="202"/>
      <c r="CA88" s="202"/>
      <c r="CB88" s="202"/>
      <c r="CC88" s="202"/>
      <c r="CD88" s="202"/>
      <c r="CE88" s="202"/>
      <c r="CF88" s="202"/>
      <c r="CG88" s="202"/>
      <c r="CH88" s="202"/>
      <c r="CI88" s="202"/>
    </row>
    <row r="89" spans="1:87" ht="15.75" customHeight="1">
      <c r="A89" s="40" t="s">
        <v>80</v>
      </c>
      <c r="B89" s="193">
        <f t="shared" si="3"/>
        <v>39834950598.699997</v>
      </c>
      <c r="C89" s="88"/>
      <c r="D89" s="198">
        <f t="shared" si="4"/>
        <v>430538.7</v>
      </c>
      <c r="E89" s="202">
        <v>19582.400000000001</v>
      </c>
      <c r="F89" s="201">
        <v>23518.2</v>
      </c>
      <c r="G89" s="202">
        <v>60923.3</v>
      </c>
      <c r="H89" s="201">
        <v>95922</v>
      </c>
      <c r="I89" s="202">
        <v>230592.8</v>
      </c>
      <c r="J89" s="74"/>
      <c r="K89" s="200">
        <v>61389013340</v>
      </c>
      <c r="L89" s="74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4">
        <v>99511315220</v>
      </c>
      <c r="X89" s="203">
        <v>121065808500</v>
      </c>
      <c r="Y89" s="202">
        <f t="shared" si="2"/>
        <v>-21554493280</v>
      </c>
      <c r="Z89" s="202"/>
      <c r="AA89" s="202"/>
      <c r="AB89" s="202"/>
      <c r="AC89" s="202"/>
      <c r="AD89" s="202"/>
      <c r="AE89" s="202"/>
      <c r="AF89" s="202"/>
      <c r="AG89" s="202"/>
      <c r="AH89" s="202"/>
      <c r="AI89" s="202"/>
      <c r="AJ89" s="202"/>
      <c r="AK89" s="202"/>
      <c r="AL89" s="202"/>
      <c r="AM89" s="202"/>
      <c r="AN89" s="202"/>
      <c r="AO89" s="202"/>
      <c r="AP89" s="202"/>
      <c r="AQ89" s="202"/>
      <c r="AR89" s="202"/>
      <c r="AS89" s="202"/>
      <c r="AT89" s="202"/>
      <c r="AU89" s="202"/>
      <c r="AV89" s="202"/>
      <c r="AW89" s="202"/>
      <c r="AX89" s="202"/>
      <c r="AY89" s="202"/>
      <c r="AZ89" s="202"/>
      <c r="BA89" s="202"/>
      <c r="BB89" s="202"/>
      <c r="BC89" s="202"/>
      <c r="BD89" s="202"/>
      <c r="BE89" s="202"/>
      <c r="BF89" s="202"/>
      <c r="BG89" s="202"/>
      <c r="BH89" s="202"/>
      <c r="BI89" s="202"/>
      <c r="BJ89" s="202"/>
      <c r="BK89" s="202"/>
      <c r="BL89" s="202"/>
      <c r="BM89" s="202"/>
      <c r="BN89" s="202"/>
      <c r="BO89" s="202"/>
      <c r="BP89" s="202"/>
      <c r="BQ89" s="202"/>
      <c r="BR89" s="202"/>
      <c r="BS89" s="202"/>
      <c r="BT89" s="202"/>
      <c r="BU89" s="202"/>
      <c r="BV89" s="202"/>
      <c r="BW89" s="202"/>
      <c r="BX89" s="202"/>
      <c r="BY89" s="202"/>
      <c r="BZ89" s="202"/>
      <c r="CA89" s="202"/>
      <c r="CB89" s="202"/>
      <c r="CC89" s="202"/>
      <c r="CD89" s="202"/>
      <c r="CE89" s="202"/>
      <c r="CF89" s="202"/>
      <c r="CG89" s="202"/>
      <c r="CH89" s="202"/>
      <c r="CI89" s="202"/>
    </row>
    <row r="90" spans="1:87" ht="15.75" customHeight="1">
      <c r="A90" s="40" t="s">
        <v>81</v>
      </c>
      <c r="B90" s="193">
        <f t="shared" si="3"/>
        <v>41440750365.200012</v>
      </c>
      <c r="C90" s="88"/>
      <c r="D90" s="198">
        <f t="shared" si="4"/>
        <v>479025.19999999995</v>
      </c>
      <c r="E90" s="202">
        <v>23535.3</v>
      </c>
      <c r="F90" s="201">
        <v>23940.5</v>
      </c>
      <c r="G90" s="202">
        <v>68391.399999999994</v>
      </c>
      <c r="H90" s="201">
        <v>104935.2</v>
      </c>
      <c r="I90" s="202">
        <v>258222.8</v>
      </c>
      <c r="J90" s="74"/>
      <c r="K90" s="200">
        <v>62667605540</v>
      </c>
      <c r="L90" s="74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4">
        <v>108060028000</v>
      </c>
      <c r="X90" s="203">
        <v>129287362199.99998</v>
      </c>
      <c r="Y90" s="202">
        <f t="shared" si="2"/>
        <v>-21227334199.999985</v>
      </c>
      <c r="Z90" s="202"/>
      <c r="AA90" s="202"/>
      <c r="AB90" s="202"/>
      <c r="AC90" s="202"/>
      <c r="AD90" s="202"/>
      <c r="AE90" s="202"/>
      <c r="AF90" s="202"/>
      <c r="AG90" s="202"/>
      <c r="AH90" s="202"/>
      <c r="AI90" s="202"/>
      <c r="AJ90" s="202"/>
      <c r="AK90" s="202"/>
      <c r="AL90" s="202"/>
      <c r="AM90" s="202"/>
      <c r="AN90" s="202"/>
      <c r="AO90" s="202"/>
      <c r="AP90" s="202"/>
      <c r="AQ90" s="202"/>
      <c r="AR90" s="202"/>
      <c r="AS90" s="202"/>
      <c r="AT90" s="202"/>
      <c r="AU90" s="202"/>
      <c r="AV90" s="202"/>
      <c r="AW90" s="202"/>
      <c r="AX90" s="202"/>
      <c r="AY90" s="202"/>
      <c r="AZ90" s="202"/>
      <c r="BA90" s="202"/>
      <c r="BB90" s="202"/>
      <c r="BC90" s="202"/>
      <c r="BD90" s="202"/>
      <c r="BE90" s="202"/>
      <c r="BF90" s="202"/>
      <c r="BG90" s="202"/>
      <c r="BH90" s="202"/>
      <c r="BI90" s="202"/>
      <c r="BJ90" s="202"/>
      <c r="BK90" s="202"/>
      <c r="BL90" s="202"/>
      <c r="BM90" s="202"/>
      <c r="BN90" s="202"/>
      <c r="BO90" s="202"/>
      <c r="BP90" s="202"/>
      <c r="BQ90" s="202"/>
      <c r="BR90" s="202"/>
      <c r="BS90" s="202"/>
      <c r="BT90" s="202"/>
      <c r="BU90" s="202"/>
      <c r="BV90" s="202"/>
      <c r="BW90" s="202"/>
      <c r="BX90" s="202"/>
      <c r="BY90" s="202"/>
      <c r="BZ90" s="202"/>
      <c r="CA90" s="202"/>
      <c r="CB90" s="202"/>
      <c r="CC90" s="202"/>
      <c r="CD90" s="202"/>
      <c r="CE90" s="202"/>
      <c r="CF90" s="202"/>
      <c r="CG90" s="202"/>
      <c r="CH90" s="202"/>
      <c r="CI90" s="202"/>
    </row>
    <row r="91" spans="1:87" ht="15.75" customHeight="1">
      <c r="A91" s="40" t="s">
        <v>82</v>
      </c>
      <c r="B91" s="193">
        <f t="shared" si="3"/>
        <v>42121452877.300003</v>
      </c>
      <c r="C91" s="88"/>
      <c r="D91" s="198">
        <f t="shared" si="4"/>
        <v>533317.30000000005</v>
      </c>
      <c r="E91" s="202">
        <v>23758.7</v>
      </c>
      <c r="F91" s="201">
        <v>25858.7</v>
      </c>
      <c r="G91" s="202">
        <v>84546.9</v>
      </c>
      <c r="H91" s="201">
        <v>108593.7</v>
      </c>
      <c r="I91" s="202">
        <v>290559.3</v>
      </c>
      <c r="J91" s="74"/>
      <c r="K91" s="200">
        <v>65812093160</v>
      </c>
      <c r="L91" s="74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4">
        <v>110590687200</v>
      </c>
      <c r="X91" s="203">
        <v>134281860800</v>
      </c>
      <c r="Y91" s="202">
        <f t="shared" si="2"/>
        <v>-23691173600</v>
      </c>
      <c r="Z91" s="202"/>
      <c r="AA91" s="202"/>
      <c r="AB91" s="202"/>
      <c r="AC91" s="202"/>
      <c r="AD91" s="202"/>
      <c r="AE91" s="202"/>
      <c r="AF91" s="202"/>
      <c r="AG91" s="202"/>
      <c r="AH91" s="202"/>
      <c r="AI91" s="202"/>
      <c r="AJ91" s="202"/>
      <c r="AK91" s="202"/>
      <c r="AL91" s="202"/>
      <c r="AM91" s="202"/>
      <c r="AN91" s="202"/>
      <c r="AO91" s="202"/>
      <c r="AP91" s="202"/>
      <c r="AQ91" s="202"/>
      <c r="AR91" s="202"/>
      <c r="AS91" s="202"/>
      <c r="AT91" s="202"/>
      <c r="AU91" s="202"/>
      <c r="AV91" s="202"/>
      <c r="AW91" s="202"/>
      <c r="AX91" s="202"/>
      <c r="AY91" s="202"/>
      <c r="AZ91" s="202"/>
      <c r="BA91" s="202"/>
      <c r="BB91" s="202"/>
      <c r="BC91" s="202"/>
      <c r="BD91" s="202"/>
      <c r="BE91" s="202"/>
      <c r="BF91" s="202"/>
      <c r="BG91" s="202"/>
      <c r="BH91" s="202"/>
      <c r="BI91" s="202"/>
      <c r="BJ91" s="202"/>
      <c r="BK91" s="202"/>
      <c r="BL91" s="202"/>
      <c r="BM91" s="202"/>
      <c r="BN91" s="202"/>
      <c r="BO91" s="202"/>
      <c r="BP91" s="202"/>
      <c r="BQ91" s="202"/>
      <c r="BR91" s="202"/>
      <c r="BS91" s="202"/>
      <c r="BT91" s="202"/>
      <c r="BU91" s="202"/>
      <c r="BV91" s="202"/>
      <c r="BW91" s="202"/>
      <c r="BX91" s="202"/>
      <c r="BY91" s="202"/>
      <c r="BZ91" s="202"/>
      <c r="CA91" s="202"/>
      <c r="CB91" s="202"/>
      <c r="CC91" s="202"/>
      <c r="CD91" s="202"/>
      <c r="CE91" s="202"/>
      <c r="CF91" s="202"/>
      <c r="CG91" s="202"/>
      <c r="CH91" s="202"/>
      <c r="CI91" s="202"/>
    </row>
    <row r="92" spans="1:87" ht="15.75" customHeight="1">
      <c r="A92" s="40" t="s">
        <v>83</v>
      </c>
      <c r="B92" s="193">
        <f t="shared" si="3"/>
        <v>42119215604.5</v>
      </c>
      <c r="C92" s="88"/>
      <c r="D92" s="198">
        <f t="shared" si="4"/>
        <v>515814.5</v>
      </c>
      <c r="E92" s="202">
        <v>26917</v>
      </c>
      <c r="F92" s="201">
        <v>25418.400000000001</v>
      </c>
      <c r="G92" s="202">
        <v>73498.600000000006</v>
      </c>
      <c r="H92" s="201">
        <v>108157.4</v>
      </c>
      <c r="I92" s="202">
        <v>281823.09999999998</v>
      </c>
      <c r="J92" s="74"/>
      <c r="K92" s="200">
        <v>65746343990</v>
      </c>
      <c r="L92" s="74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4">
        <v>115686204000</v>
      </c>
      <c r="X92" s="203">
        <v>139313848200</v>
      </c>
      <c r="Y92" s="202">
        <f t="shared" si="2"/>
        <v>-23627644200</v>
      </c>
      <c r="Z92" s="202"/>
      <c r="AA92" s="202"/>
      <c r="AB92" s="202"/>
      <c r="AC92" s="202"/>
      <c r="AD92" s="202"/>
      <c r="AE92" s="202"/>
      <c r="AF92" s="202"/>
      <c r="AG92" s="202"/>
      <c r="AH92" s="202"/>
      <c r="AI92" s="202"/>
      <c r="AJ92" s="202"/>
      <c r="AK92" s="202"/>
      <c r="AL92" s="202"/>
      <c r="AM92" s="202"/>
      <c r="AN92" s="202"/>
      <c r="AO92" s="202"/>
      <c r="AP92" s="202"/>
      <c r="AQ92" s="202"/>
      <c r="AR92" s="202"/>
      <c r="AS92" s="202"/>
      <c r="AT92" s="202"/>
      <c r="AU92" s="202"/>
      <c r="AV92" s="202"/>
      <c r="AW92" s="202"/>
      <c r="AX92" s="202"/>
      <c r="AY92" s="202"/>
      <c r="AZ92" s="202"/>
      <c r="BA92" s="202"/>
      <c r="BB92" s="202"/>
      <c r="BC92" s="202"/>
      <c r="BD92" s="202"/>
      <c r="BE92" s="202"/>
      <c r="BF92" s="202"/>
      <c r="BG92" s="202"/>
      <c r="BH92" s="202"/>
      <c r="BI92" s="202"/>
      <c r="BJ92" s="202"/>
      <c r="BK92" s="202"/>
      <c r="BL92" s="202"/>
      <c r="BM92" s="202"/>
      <c r="BN92" s="202"/>
      <c r="BO92" s="202"/>
      <c r="BP92" s="202"/>
      <c r="BQ92" s="202"/>
      <c r="BR92" s="202"/>
      <c r="BS92" s="202"/>
      <c r="BT92" s="202"/>
      <c r="BU92" s="202"/>
      <c r="BV92" s="202"/>
      <c r="BW92" s="202"/>
      <c r="BX92" s="202"/>
      <c r="BY92" s="202"/>
      <c r="BZ92" s="202"/>
      <c r="CA92" s="202"/>
      <c r="CB92" s="202"/>
      <c r="CC92" s="202"/>
      <c r="CD92" s="202"/>
      <c r="CE92" s="202"/>
      <c r="CF92" s="202"/>
      <c r="CG92" s="202"/>
      <c r="CH92" s="202"/>
      <c r="CI92" s="202"/>
    </row>
    <row r="93" spans="1:87" ht="15.75" customHeight="1">
      <c r="A93" s="40" t="s">
        <v>84</v>
      </c>
      <c r="B93" s="193">
        <f t="shared" si="3"/>
        <v>56604351982.300003</v>
      </c>
      <c r="C93" s="88"/>
      <c r="D93" s="198">
        <f t="shared" si="4"/>
        <v>459462.30000000005</v>
      </c>
      <c r="E93" s="202">
        <v>21557.200000000001</v>
      </c>
      <c r="F93" s="201">
        <v>23920.6</v>
      </c>
      <c r="G93" s="202">
        <v>59393.2</v>
      </c>
      <c r="H93" s="201">
        <v>100350.7</v>
      </c>
      <c r="I93" s="202">
        <v>254240.6</v>
      </c>
      <c r="J93" s="74"/>
      <c r="K93" s="200">
        <v>72310617820</v>
      </c>
      <c r="L93" s="74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4">
        <v>133170390500</v>
      </c>
      <c r="X93" s="203">
        <v>148877115800</v>
      </c>
      <c r="Y93" s="202">
        <f t="shared" si="2"/>
        <v>-15706725300</v>
      </c>
      <c r="Z93" s="202"/>
      <c r="AA93" s="202"/>
      <c r="AB93" s="202"/>
      <c r="AC93" s="202"/>
      <c r="AD93" s="202"/>
      <c r="AE93" s="202"/>
      <c r="AF93" s="202"/>
      <c r="AG93" s="202"/>
      <c r="AH93" s="202"/>
      <c r="AI93" s="202"/>
      <c r="AJ93" s="202"/>
      <c r="AK93" s="202"/>
      <c r="AL93" s="202"/>
      <c r="AM93" s="202"/>
      <c r="AN93" s="202"/>
      <c r="AO93" s="202"/>
      <c r="AP93" s="202"/>
      <c r="AQ93" s="202"/>
      <c r="AR93" s="202"/>
      <c r="AS93" s="202"/>
      <c r="AT93" s="202"/>
      <c r="AU93" s="202"/>
      <c r="AV93" s="202"/>
      <c r="AW93" s="202"/>
      <c r="AX93" s="202"/>
      <c r="AY93" s="202"/>
      <c r="AZ93" s="202"/>
      <c r="BA93" s="202"/>
      <c r="BB93" s="202"/>
      <c r="BC93" s="202"/>
      <c r="BD93" s="202"/>
      <c r="BE93" s="202"/>
      <c r="BF93" s="202"/>
      <c r="BG93" s="202"/>
      <c r="BH93" s="202"/>
      <c r="BI93" s="202"/>
      <c r="BJ93" s="202"/>
      <c r="BK93" s="202"/>
      <c r="BL93" s="202"/>
      <c r="BM93" s="202"/>
      <c r="BN93" s="202"/>
      <c r="BO93" s="202"/>
      <c r="BP93" s="202"/>
      <c r="BQ93" s="202"/>
      <c r="BR93" s="202"/>
      <c r="BS93" s="202"/>
      <c r="BT93" s="202"/>
      <c r="BU93" s="202"/>
      <c r="BV93" s="202"/>
      <c r="BW93" s="202"/>
      <c r="BX93" s="202"/>
      <c r="BY93" s="202"/>
      <c r="BZ93" s="202"/>
      <c r="CA93" s="202"/>
      <c r="CB93" s="202"/>
      <c r="CC93" s="202"/>
      <c r="CD93" s="202"/>
      <c r="CE93" s="202"/>
      <c r="CF93" s="202"/>
      <c r="CG93" s="202"/>
      <c r="CH93" s="202"/>
      <c r="CI93" s="202"/>
    </row>
    <row r="94" spans="1:87" ht="15.75" customHeight="1">
      <c r="A94" s="40" t="s">
        <v>85</v>
      </c>
      <c r="B94" s="193">
        <f t="shared" si="3"/>
        <v>53961564045.899994</v>
      </c>
      <c r="C94" s="88"/>
      <c r="D94" s="198">
        <f t="shared" si="4"/>
        <v>514175.9</v>
      </c>
      <c r="E94" s="202">
        <v>23830.1</v>
      </c>
      <c r="F94" s="201">
        <v>25461.7</v>
      </c>
      <c r="G94" s="202">
        <v>70767.5</v>
      </c>
      <c r="H94" s="201">
        <v>107476.1</v>
      </c>
      <c r="I94" s="202">
        <v>286640.5</v>
      </c>
      <c r="J94" s="74"/>
      <c r="K94" s="200">
        <v>69045345970</v>
      </c>
      <c r="L94" s="74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4">
        <v>126713500600</v>
      </c>
      <c r="X94" s="203">
        <v>141797796700</v>
      </c>
      <c r="Y94" s="202">
        <f t="shared" ref="Y94:Y103" si="5">W94-X94</f>
        <v>-15084296100</v>
      </c>
      <c r="Z94" s="202"/>
      <c r="AA94" s="202"/>
      <c r="AB94" s="202"/>
      <c r="AC94" s="202"/>
      <c r="AD94" s="202"/>
      <c r="AE94" s="202"/>
      <c r="AF94" s="202"/>
      <c r="AG94" s="202"/>
      <c r="AH94" s="202"/>
      <c r="AI94" s="202"/>
      <c r="AJ94" s="202"/>
      <c r="AK94" s="202"/>
      <c r="AL94" s="202"/>
      <c r="AM94" s="202"/>
      <c r="AN94" s="202"/>
      <c r="AO94" s="202"/>
      <c r="AP94" s="202"/>
      <c r="AQ94" s="202"/>
      <c r="AR94" s="202"/>
      <c r="AS94" s="202"/>
      <c r="AT94" s="202"/>
      <c r="AU94" s="202"/>
      <c r="AV94" s="202"/>
      <c r="AW94" s="202"/>
      <c r="AX94" s="202"/>
      <c r="AY94" s="202"/>
      <c r="AZ94" s="202"/>
      <c r="BA94" s="202"/>
      <c r="BB94" s="202"/>
      <c r="BC94" s="202"/>
      <c r="BD94" s="202"/>
      <c r="BE94" s="202"/>
      <c r="BF94" s="202"/>
      <c r="BG94" s="202"/>
      <c r="BH94" s="202"/>
      <c r="BI94" s="202"/>
      <c r="BJ94" s="202"/>
      <c r="BK94" s="202"/>
      <c r="BL94" s="202"/>
      <c r="BM94" s="202"/>
      <c r="BN94" s="202"/>
      <c r="BO94" s="202"/>
      <c r="BP94" s="202"/>
      <c r="BQ94" s="202"/>
      <c r="BR94" s="202"/>
      <c r="BS94" s="202"/>
      <c r="BT94" s="202"/>
      <c r="BU94" s="202"/>
      <c r="BV94" s="202"/>
      <c r="BW94" s="202"/>
      <c r="BX94" s="202"/>
      <c r="BY94" s="202"/>
      <c r="BZ94" s="202"/>
      <c r="CA94" s="202"/>
      <c r="CB94" s="202"/>
      <c r="CC94" s="202"/>
      <c r="CD94" s="202"/>
      <c r="CE94" s="202"/>
      <c r="CF94" s="202"/>
      <c r="CG94" s="202"/>
      <c r="CH94" s="202"/>
      <c r="CI94" s="202"/>
    </row>
    <row r="95" spans="1:87" ht="15.75" customHeight="1">
      <c r="A95" s="40" t="s">
        <v>86</v>
      </c>
      <c r="B95" s="193">
        <f t="shared" si="3"/>
        <v>57833911408.300003</v>
      </c>
      <c r="C95" s="88"/>
      <c r="D95" s="198">
        <f t="shared" si="4"/>
        <v>571838.30000000005</v>
      </c>
      <c r="E95" s="202">
        <v>23867.5</v>
      </c>
      <c r="F95" s="201">
        <v>26912.5</v>
      </c>
      <c r="G95" s="202">
        <v>84898.3</v>
      </c>
      <c r="H95" s="201">
        <v>113210.5</v>
      </c>
      <c r="I95" s="202">
        <v>322949.5</v>
      </c>
      <c r="J95" s="74"/>
      <c r="K95" s="200">
        <v>73174781070</v>
      </c>
      <c r="L95" s="74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4">
        <v>129040921400</v>
      </c>
      <c r="X95" s="203">
        <v>144382362900</v>
      </c>
      <c r="Y95" s="202">
        <f t="shared" si="5"/>
        <v>-15341441500</v>
      </c>
      <c r="Z95" s="202"/>
      <c r="AA95" s="202"/>
      <c r="AB95" s="202"/>
      <c r="AC95" s="202"/>
      <c r="AD95" s="202"/>
      <c r="AE95" s="202"/>
      <c r="AF95" s="202"/>
      <c r="AG95" s="202"/>
      <c r="AH95" s="202"/>
      <c r="AI95" s="202"/>
      <c r="AJ95" s="202"/>
      <c r="AK95" s="202"/>
      <c r="AL95" s="202"/>
      <c r="AM95" s="202"/>
      <c r="AN95" s="202"/>
      <c r="AO95" s="202"/>
      <c r="AP95" s="202"/>
      <c r="AQ95" s="202"/>
      <c r="AR95" s="202"/>
      <c r="AS95" s="202"/>
      <c r="AT95" s="202"/>
      <c r="AU95" s="202"/>
      <c r="AV95" s="202"/>
      <c r="AW95" s="202"/>
      <c r="AX95" s="202"/>
      <c r="AY95" s="202"/>
      <c r="AZ95" s="202"/>
      <c r="BA95" s="202"/>
      <c r="BB95" s="202"/>
      <c r="BC95" s="202"/>
      <c r="BD95" s="202"/>
      <c r="BE95" s="202"/>
      <c r="BF95" s="202"/>
      <c r="BG95" s="202"/>
      <c r="BH95" s="202"/>
      <c r="BI95" s="202"/>
      <c r="BJ95" s="202"/>
      <c r="BK95" s="202"/>
      <c r="BL95" s="202"/>
      <c r="BM95" s="202"/>
      <c r="BN95" s="202"/>
      <c r="BO95" s="202"/>
      <c r="BP95" s="202"/>
      <c r="BQ95" s="202"/>
      <c r="BR95" s="202"/>
      <c r="BS95" s="202"/>
      <c r="BT95" s="202"/>
      <c r="BU95" s="202"/>
      <c r="BV95" s="202"/>
      <c r="BW95" s="202"/>
      <c r="BX95" s="202"/>
      <c r="BY95" s="202"/>
      <c r="BZ95" s="202"/>
      <c r="CA95" s="202"/>
      <c r="CB95" s="202"/>
      <c r="CC95" s="202"/>
      <c r="CD95" s="202"/>
      <c r="CE95" s="202"/>
      <c r="CF95" s="202"/>
      <c r="CG95" s="202"/>
      <c r="CH95" s="202"/>
      <c r="CI95" s="202"/>
    </row>
    <row r="96" spans="1:87" ht="15.75" customHeight="1">
      <c r="A96" s="40" t="s">
        <v>87</v>
      </c>
      <c r="B96" s="193">
        <f t="shared" si="3"/>
        <v>50752241233.100006</v>
      </c>
      <c r="C96" s="88"/>
      <c r="D96" s="198">
        <f t="shared" si="4"/>
        <v>560783.1</v>
      </c>
      <c r="E96" s="202">
        <v>29932.2</v>
      </c>
      <c r="F96" s="201">
        <v>24572.9</v>
      </c>
      <c r="G96" s="202">
        <v>77001.2</v>
      </c>
      <c r="H96" s="201">
        <v>114411.5</v>
      </c>
      <c r="I96" s="202">
        <v>314865.3</v>
      </c>
      <c r="J96" s="74"/>
      <c r="K96" s="200">
        <v>73565514550</v>
      </c>
      <c r="L96" s="74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4">
        <v>129023316300</v>
      </c>
      <c r="X96" s="203">
        <v>151837150400</v>
      </c>
      <c r="Y96" s="202">
        <f t="shared" si="5"/>
        <v>-22813834100</v>
      </c>
      <c r="Z96" s="202"/>
      <c r="AA96" s="202"/>
      <c r="AB96" s="202"/>
      <c r="AC96" s="202"/>
      <c r="AD96" s="202"/>
      <c r="AE96" s="202"/>
      <c r="AF96" s="202"/>
      <c r="AG96" s="202"/>
      <c r="AH96" s="202"/>
      <c r="AI96" s="202"/>
      <c r="AJ96" s="202"/>
      <c r="AK96" s="202"/>
      <c r="AL96" s="202"/>
      <c r="AM96" s="202"/>
      <c r="AN96" s="202"/>
      <c r="AO96" s="202"/>
      <c r="AP96" s="202"/>
      <c r="AQ96" s="202"/>
      <c r="AR96" s="202"/>
      <c r="AS96" s="202"/>
      <c r="AT96" s="202"/>
      <c r="AU96" s="202"/>
      <c r="AV96" s="202"/>
      <c r="AW96" s="202"/>
      <c r="AX96" s="202"/>
      <c r="AY96" s="202"/>
      <c r="AZ96" s="202"/>
      <c r="BA96" s="202"/>
      <c r="BB96" s="202"/>
      <c r="BC96" s="202"/>
      <c r="BD96" s="202"/>
      <c r="BE96" s="202"/>
      <c r="BF96" s="202"/>
      <c r="BG96" s="202"/>
      <c r="BH96" s="202"/>
      <c r="BI96" s="202"/>
      <c r="BJ96" s="202"/>
      <c r="BK96" s="202"/>
      <c r="BL96" s="202"/>
      <c r="BM96" s="202"/>
      <c r="BN96" s="202"/>
      <c r="BO96" s="202"/>
      <c r="BP96" s="202"/>
      <c r="BQ96" s="202"/>
      <c r="BR96" s="202"/>
      <c r="BS96" s="202"/>
      <c r="BT96" s="202"/>
      <c r="BU96" s="202"/>
      <c r="BV96" s="202"/>
      <c r="BW96" s="202"/>
      <c r="BX96" s="202"/>
      <c r="BY96" s="202"/>
      <c r="BZ96" s="202"/>
      <c r="CA96" s="202"/>
      <c r="CB96" s="202"/>
      <c r="CC96" s="202"/>
      <c r="CD96" s="202"/>
      <c r="CE96" s="202"/>
      <c r="CF96" s="202"/>
      <c r="CG96" s="202"/>
      <c r="CH96" s="202"/>
      <c r="CI96" s="202"/>
    </row>
    <row r="97" spans="1:87" ht="15.75" customHeight="1">
      <c r="A97" s="40" t="s">
        <v>88</v>
      </c>
      <c r="B97" s="193">
        <f t="shared" si="3"/>
        <v>60286283016.900009</v>
      </c>
      <c r="C97" s="88"/>
      <c r="D97" s="198">
        <f t="shared" si="4"/>
        <v>510176.9</v>
      </c>
      <c r="E97" s="202">
        <v>24361.5</v>
      </c>
      <c r="F97" s="201">
        <v>25907.599999999999</v>
      </c>
      <c r="G97" s="202">
        <v>64637.599999999999</v>
      </c>
      <c r="H97" s="201">
        <v>105020.7</v>
      </c>
      <c r="I97" s="202">
        <v>290249.5</v>
      </c>
      <c r="J97" s="74"/>
      <c r="K97" s="200">
        <v>72207583240</v>
      </c>
      <c r="L97" s="74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4">
        <v>135718079600.00002</v>
      </c>
      <c r="X97" s="203">
        <v>147639890000</v>
      </c>
      <c r="Y97" s="202">
        <f t="shared" si="5"/>
        <v>-11921810399.999985</v>
      </c>
      <c r="Z97" s="202"/>
      <c r="AA97" s="202"/>
      <c r="AB97" s="202"/>
      <c r="AC97" s="202"/>
      <c r="AD97" s="202"/>
      <c r="AE97" s="202"/>
      <c r="AF97" s="202"/>
      <c r="AG97" s="202"/>
      <c r="AH97" s="202"/>
      <c r="AI97" s="202"/>
      <c r="AJ97" s="202"/>
      <c r="AK97" s="202"/>
      <c r="AL97" s="202"/>
      <c r="AM97" s="202"/>
      <c r="AN97" s="202"/>
      <c r="AO97" s="202"/>
      <c r="AP97" s="202"/>
      <c r="AQ97" s="202"/>
      <c r="AR97" s="202"/>
      <c r="AS97" s="202"/>
      <c r="AT97" s="202"/>
      <c r="AU97" s="202"/>
      <c r="AV97" s="202"/>
      <c r="AW97" s="202"/>
      <c r="AX97" s="202"/>
      <c r="AY97" s="202"/>
      <c r="AZ97" s="202"/>
      <c r="BA97" s="202"/>
      <c r="BB97" s="202"/>
      <c r="BC97" s="202"/>
      <c r="BD97" s="202"/>
      <c r="BE97" s="202"/>
      <c r="BF97" s="202"/>
      <c r="BG97" s="202"/>
      <c r="BH97" s="202"/>
      <c r="BI97" s="202"/>
      <c r="BJ97" s="202"/>
      <c r="BK97" s="202"/>
      <c r="BL97" s="202"/>
      <c r="BM97" s="202"/>
      <c r="BN97" s="202"/>
      <c r="BO97" s="202"/>
      <c r="BP97" s="202"/>
      <c r="BQ97" s="202"/>
      <c r="BR97" s="202"/>
      <c r="BS97" s="202"/>
      <c r="BT97" s="202"/>
      <c r="BU97" s="202"/>
      <c r="BV97" s="202"/>
      <c r="BW97" s="202"/>
      <c r="BX97" s="202"/>
      <c r="BY97" s="202"/>
      <c r="BZ97" s="202"/>
      <c r="CA97" s="202"/>
      <c r="CB97" s="202"/>
      <c r="CC97" s="202"/>
      <c r="CD97" s="202"/>
      <c r="CE97" s="202"/>
      <c r="CF97" s="202"/>
      <c r="CG97" s="202"/>
      <c r="CH97" s="202"/>
      <c r="CI97" s="202"/>
    </row>
    <row r="98" spans="1:87" ht="15.75" customHeight="1">
      <c r="A98" s="40" t="s">
        <v>89</v>
      </c>
      <c r="B98" s="193">
        <f t="shared" si="3"/>
        <v>66593699020.699997</v>
      </c>
      <c r="C98" s="88"/>
      <c r="D98" s="198">
        <f t="shared" si="4"/>
        <v>560720.69999999995</v>
      </c>
      <c r="E98" s="202">
        <v>27882.5</v>
      </c>
      <c r="F98" s="201">
        <v>24602.9</v>
      </c>
      <c r="G98" s="202">
        <v>74999</v>
      </c>
      <c r="H98" s="201">
        <v>110382.1</v>
      </c>
      <c r="I98" s="202">
        <v>322854.2</v>
      </c>
      <c r="J98" s="74"/>
      <c r="K98" s="200">
        <v>79282626100</v>
      </c>
      <c r="L98" s="74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4">
        <v>143115670300</v>
      </c>
      <c r="X98" s="203">
        <v>155805158100</v>
      </c>
      <c r="Y98" s="202">
        <f t="shared" si="5"/>
        <v>-12689487800</v>
      </c>
      <c r="Z98" s="202"/>
      <c r="AA98" s="202"/>
      <c r="AB98" s="202"/>
      <c r="AC98" s="202"/>
      <c r="AD98" s="202"/>
      <c r="AE98" s="202"/>
      <c r="AF98" s="202"/>
      <c r="AG98" s="202"/>
      <c r="AH98" s="202"/>
      <c r="AI98" s="202"/>
      <c r="AJ98" s="202"/>
      <c r="AK98" s="202"/>
      <c r="AL98" s="202"/>
      <c r="AM98" s="202"/>
      <c r="AN98" s="202"/>
      <c r="AO98" s="202"/>
      <c r="AP98" s="202"/>
      <c r="AQ98" s="202"/>
      <c r="AR98" s="202"/>
      <c r="AS98" s="202"/>
      <c r="AT98" s="202"/>
      <c r="AU98" s="202"/>
      <c r="AV98" s="202"/>
      <c r="AW98" s="202"/>
      <c r="AX98" s="202"/>
      <c r="AY98" s="202"/>
      <c r="AZ98" s="202"/>
      <c r="BA98" s="202"/>
      <c r="BB98" s="202"/>
      <c r="BC98" s="202"/>
      <c r="BD98" s="202"/>
      <c r="BE98" s="202"/>
      <c r="BF98" s="202"/>
      <c r="BG98" s="202"/>
      <c r="BH98" s="202"/>
      <c r="BI98" s="202"/>
      <c r="BJ98" s="202"/>
      <c r="BK98" s="202"/>
      <c r="BL98" s="202"/>
      <c r="BM98" s="202"/>
      <c r="BN98" s="202"/>
      <c r="BO98" s="202"/>
      <c r="BP98" s="202"/>
      <c r="BQ98" s="202"/>
      <c r="BR98" s="202"/>
      <c r="BS98" s="202"/>
      <c r="BT98" s="202"/>
      <c r="BU98" s="202"/>
      <c r="BV98" s="202"/>
      <c r="BW98" s="202"/>
      <c r="BX98" s="202"/>
      <c r="BY98" s="202"/>
      <c r="BZ98" s="202"/>
      <c r="CA98" s="202"/>
      <c r="CB98" s="202"/>
      <c r="CC98" s="202"/>
      <c r="CD98" s="202"/>
      <c r="CE98" s="202"/>
      <c r="CF98" s="202"/>
      <c r="CG98" s="202"/>
      <c r="CH98" s="202"/>
      <c r="CI98" s="202"/>
    </row>
    <row r="99" spans="1:87" ht="15.75" customHeight="1">
      <c r="A99" s="40" t="s">
        <v>90</v>
      </c>
      <c r="B99" s="193">
        <f t="shared" si="3"/>
        <v>74078965549.699997</v>
      </c>
      <c r="C99" s="88"/>
      <c r="D99" s="198">
        <f t="shared" si="4"/>
        <v>619109.69999999995</v>
      </c>
      <c r="E99" s="202">
        <v>26913.8</v>
      </c>
      <c r="F99" s="201">
        <v>24477.4</v>
      </c>
      <c r="G99" s="202">
        <v>90193.4</v>
      </c>
      <c r="H99" s="201">
        <v>116567.4</v>
      </c>
      <c r="I99" s="202">
        <v>360957.7</v>
      </c>
      <c r="J99" s="74"/>
      <c r="K99" s="200">
        <v>83672140440</v>
      </c>
      <c r="L99" s="74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4">
        <v>148819840700</v>
      </c>
      <c r="X99" s="203">
        <v>158413634700</v>
      </c>
      <c r="Y99" s="202">
        <f t="shared" si="5"/>
        <v>-9593794000</v>
      </c>
      <c r="Z99" s="202"/>
      <c r="AA99" s="202"/>
      <c r="AB99" s="202"/>
      <c r="AC99" s="202"/>
      <c r="AD99" s="202"/>
      <c r="AE99" s="202"/>
      <c r="AF99" s="202"/>
      <c r="AG99" s="202"/>
      <c r="AH99" s="202"/>
      <c r="AI99" s="202"/>
      <c r="AJ99" s="202"/>
      <c r="AK99" s="202"/>
      <c r="AL99" s="202"/>
      <c r="AM99" s="202"/>
      <c r="AN99" s="202"/>
      <c r="AO99" s="202"/>
      <c r="AP99" s="202"/>
      <c r="AQ99" s="202"/>
      <c r="AR99" s="202"/>
      <c r="AS99" s="202"/>
      <c r="AT99" s="202"/>
      <c r="AU99" s="202"/>
      <c r="AV99" s="202"/>
      <c r="AW99" s="202"/>
      <c r="AX99" s="202"/>
      <c r="AY99" s="202"/>
      <c r="AZ99" s="202"/>
      <c r="BA99" s="202"/>
      <c r="BB99" s="202"/>
      <c r="BC99" s="202"/>
      <c r="BD99" s="202"/>
      <c r="BE99" s="202"/>
      <c r="BF99" s="202"/>
      <c r="BG99" s="202"/>
      <c r="BH99" s="202"/>
      <c r="BI99" s="202"/>
      <c r="BJ99" s="202"/>
      <c r="BK99" s="202"/>
      <c r="BL99" s="202"/>
      <c r="BM99" s="202"/>
      <c r="BN99" s="202"/>
      <c r="BO99" s="202"/>
      <c r="BP99" s="202"/>
      <c r="BQ99" s="202"/>
      <c r="BR99" s="202"/>
      <c r="BS99" s="202"/>
      <c r="BT99" s="202"/>
      <c r="BU99" s="202"/>
      <c r="BV99" s="202"/>
      <c r="BW99" s="202"/>
      <c r="BX99" s="202"/>
      <c r="BY99" s="202"/>
      <c r="BZ99" s="202"/>
      <c r="CA99" s="202"/>
      <c r="CB99" s="202"/>
      <c r="CC99" s="202"/>
      <c r="CD99" s="202"/>
      <c r="CE99" s="202"/>
      <c r="CF99" s="202"/>
      <c r="CG99" s="202"/>
      <c r="CH99" s="202"/>
      <c r="CI99" s="202"/>
    </row>
    <row r="100" spans="1:87" ht="15.75" customHeight="1">
      <c r="A100" s="40" t="s">
        <v>91</v>
      </c>
      <c r="B100" s="193">
        <f t="shared" si="3"/>
        <v>75965055468.199997</v>
      </c>
      <c r="C100" s="88"/>
      <c r="D100" s="198">
        <f t="shared" si="4"/>
        <v>617438.19999999995</v>
      </c>
      <c r="E100" s="202">
        <v>30267.5</v>
      </c>
      <c r="F100" s="201">
        <v>27983.1</v>
      </c>
      <c r="G100" s="202">
        <v>81408</v>
      </c>
      <c r="H100" s="201">
        <v>118913.2</v>
      </c>
      <c r="I100" s="202">
        <v>358866.4</v>
      </c>
      <c r="J100" s="74"/>
      <c r="K100" s="200">
        <v>89389157030</v>
      </c>
      <c r="L100" s="74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4">
        <v>149062350400</v>
      </c>
      <c r="X100" s="203">
        <v>162487069400</v>
      </c>
      <c r="Y100" s="202">
        <f t="shared" si="5"/>
        <v>-13424719000</v>
      </c>
      <c r="Z100" s="202"/>
      <c r="AA100" s="202"/>
      <c r="AB100" s="202"/>
      <c r="AC100" s="202"/>
      <c r="AD100" s="202"/>
      <c r="AE100" s="202"/>
      <c r="AF100" s="202"/>
      <c r="AG100" s="202"/>
      <c r="AH100" s="202"/>
      <c r="AI100" s="202"/>
      <c r="AJ100" s="202"/>
      <c r="AK100" s="202"/>
      <c r="AL100" s="202"/>
      <c r="AM100" s="202"/>
      <c r="AN100" s="202"/>
      <c r="AO100" s="202"/>
      <c r="AP100" s="202"/>
      <c r="AQ100" s="202"/>
      <c r="AR100" s="202"/>
      <c r="AS100" s="202"/>
      <c r="AT100" s="202"/>
      <c r="AU100" s="202"/>
      <c r="AV100" s="202"/>
      <c r="AW100" s="202"/>
      <c r="AX100" s="202"/>
      <c r="AY100" s="202"/>
      <c r="AZ100" s="202"/>
      <c r="BA100" s="202"/>
      <c r="BB100" s="202"/>
      <c r="BC100" s="202"/>
      <c r="BD100" s="202"/>
      <c r="BE100" s="202"/>
      <c r="BF100" s="202"/>
      <c r="BG100" s="202"/>
      <c r="BH100" s="202"/>
      <c r="BI100" s="202"/>
      <c r="BJ100" s="202"/>
      <c r="BK100" s="202"/>
      <c r="BL100" s="202"/>
      <c r="BM100" s="202"/>
      <c r="BN100" s="202"/>
      <c r="BO100" s="202"/>
      <c r="BP100" s="202"/>
      <c r="BQ100" s="202"/>
      <c r="BR100" s="202"/>
      <c r="BS100" s="202"/>
      <c r="BT100" s="202"/>
      <c r="BU100" s="202"/>
      <c r="BV100" s="202"/>
      <c r="BW100" s="202"/>
      <c r="BX100" s="202"/>
      <c r="BY100" s="202"/>
      <c r="BZ100" s="202"/>
      <c r="CA100" s="202"/>
      <c r="CB100" s="202"/>
      <c r="CC100" s="202"/>
      <c r="CD100" s="202"/>
      <c r="CE100" s="202"/>
      <c r="CF100" s="202"/>
      <c r="CG100" s="202"/>
      <c r="CH100" s="202"/>
      <c r="CI100" s="202"/>
    </row>
    <row r="101" spans="1:87" ht="15.75" customHeight="1">
      <c r="A101" s="40" t="s">
        <v>92</v>
      </c>
      <c r="B101" s="193">
        <f t="shared" si="3"/>
        <v>81563419887.600006</v>
      </c>
      <c r="C101" s="88"/>
      <c r="D101" s="198">
        <f t="shared" si="4"/>
        <v>542517.6</v>
      </c>
      <c r="E101" s="202">
        <v>23996.9</v>
      </c>
      <c r="F101" s="201">
        <v>26561.9</v>
      </c>
      <c r="G101" s="202">
        <v>66838.899999999994</v>
      </c>
      <c r="H101" s="201">
        <v>106703.6</v>
      </c>
      <c r="I101" s="202">
        <v>318416.3</v>
      </c>
      <c r="J101" s="74"/>
      <c r="K101" s="200">
        <v>93022077270</v>
      </c>
      <c r="L101" s="74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4">
        <v>148772326900</v>
      </c>
      <c r="X101" s="203">
        <v>160231526800</v>
      </c>
      <c r="Y101" s="202">
        <f t="shared" si="5"/>
        <v>-11459199900</v>
      </c>
      <c r="Z101" s="202"/>
      <c r="AA101" s="202"/>
      <c r="AB101" s="202"/>
      <c r="AC101" s="202"/>
      <c r="AD101" s="202"/>
      <c r="AE101" s="202"/>
      <c r="AF101" s="202"/>
      <c r="AG101" s="202"/>
      <c r="AH101" s="202"/>
      <c r="AI101" s="202"/>
      <c r="AJ101" s="202"/>
      <c r="AK101" s="202"/>
      <c r="AL101" s="202"/>
      <c r="AM101" s="202"/>
      <c r="AN101" s="202"/>
      <c r="AO101" s="202"/>
      <c r="AP101" s="202"/>
      <c r="AQ101" s="202"/>
      <c r="AR101" s="202"/>
      <c r="AS101" s="202"/>
      <c r="AT101" s="202"/>
      <c r="AU101" s="202"/>
      <c r="AV101" s="202"/>
      <c r="AW101" s="202"/>
      <c r="AX101" s="202"/>
      <c r="AY101" s="202"/>
      <c r="AZ101" s="202"/>
      <c r="BA101" s="202"/>
      <c r="BB101" s="202"/>
      <c r="BC101" s="202"/>
      <c r="BD101" s="202"/>
      <c r="BE101" s="202"/>
      <c r="BF101" s="202"/>
      <c r="BG101" s="202"/>
      <c r="BH101" s="202"/>
      <c r="BI101" s="202"/>
      <c r="BJ101" s="202"/>
      <c r="BK101" s="202"/>
      <c r="BL101" s="202"/>
      <c r="BM101" s="202"/>
      <c r="BN101" s="202"/>
      <c r="BO101" s="202"/>
      <c r="BP101" s="202"/>
      <c r="BQ101" s="202"/>
      <c r="BR101" s="202"/>
      <c r="BS101" s="202"/>
      <c r="BT101" s="202"/>
      <c r="BU101" s="202"/>
      <c r="BV101" s="202"/>
      <c r="BW101" s="202"/>
      <c r="BX101" s="202"/>
      <c r="BY101" s="202"/>
      <c r="BZ101" s="202"/>
      <c r="CA101" s="202"/>
      <c r="CB101" s="202"/>
      <c r="CC101" s="202"/>
      <c r="CD101" s="202"/>
      <c r="CE101" s="202"/>
      <c r="CF101" s="202"/>
      <c r="CG101" s="202"/>
      <c r="CH101" s="202"/>
      <c r="CI101" s="202"/>
    </row>
    <row r="102" spans="1:87" ht="15.75" customHeight="1">
      <c r="A102" s="40" t="s">
        <v>106</v>
      </c>
      <c r="B102" s="193">
        <f t="shared" si="3"/>
        <v>81319712216.899994</v>
      </c>
      <c r="C102" s="88"/>
      <c r="D102" s="198">
        <f t="shared" si="4"/>
        <v>596496.9</v>
      </c>
      <c r="E102" s="202">
        <v>26974.2</v>
      </c>
      <c r="F102" s="201">
        <v>27172.3</v>
      </c>
      <c r="G102" s="202">
        <v>77792</v>
      </c>
      <c r="H102" s="201">
        <v>113547.2</v>
      </c>
      <c r="I102" s="202">
        <v>351011.2</v>
      </c>
      <c r="J102" s="74"/>
      <c r="K102" s="200">
        <v>98414069020</v>
      </c>
      <c r="L102" s="74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4">
        <v>147279371800</v>
      </c>
      <c r="X102" s="203">
        <v>164374325100</v>
      </c>
      <c r="Y102" s="202">
        <f t="shared" si="5"/>
        <v>-17094953300</v>
      </c>
      <c r="Z102" s="202"/>
      <c r="AA102" s="202"/>
      <c r="AB102" s="202"/>
      <c r="AC102" s="202"/>
      <c r="AD102" s="202"/>
      <c r="AE102" s="202"/>
      <c r="AF102" s="202"/>
      <c r="AG102" s="202"/>
      <c r="AH102" s="202"/>
      <c r="AI102" s="202"/>
      <c r="AJ102" s="202"/>
      <c r="AK102" s="202"/>
      <c r="AL102" s="202"/>
      <c r="AM102" s="202"/>
      <c r="AN102" s="202"/>
      <c r="AO102" s="202"/>
      <c r="AP102" s="202"/>
      <c r="AQ102" s="202"/>
      <c r="AR102" s="202"/>
      <c r="AS102" s="202"/>
      <c r="AT102" s="202"/>
      <c r="AU102" s="202"/>
      <c r="AV102" s="202"/>
      <c r="AW102" s="202"/>
      <c r="AX102" s="202"/>
      <c r="AY102" s="202"/>
      <c r="AZ102" s="202"/>
      <c r="BA102" s="202"/>
      <c r="BB102" s="202"/>
      <c r="BC102" s="202"/>
      <c r="BD102" s="202"/>
      <c r="BE102" s="202"/>
      <c r="BF102" s="202"/>
      <c r="BG102" s="202"/>
      <c r="BH102" s="202"/>
      <c r="BI102" s="202"/>
      <c r="BJ102" s="202"/>
      <c r="BK102" s="202"/>
      <c r="BL102" s="202"/>
      <c r="BM102" s="202"/>
      <c r="BN102" s="202"/>
      <c r="BO102" s="202"/>
      <c r="BP102" s="202"/>
      <c r="BQ102" s="202"/>
      <c r="BR102" s="202"/>
      <c r="BS102" s="202"/>
      <c r="BT102" s="202"/>
      <c r="BU102" s="202"/>
      <c r="BV102" s="202"/>
      <c r="BW102" s="202"/>
      <c r="BX102" s="202"/>
      <c r="BY102" s="202"/>
      <c r="BZ102" s="202"/>
      <c r="CA102" s="202"/>
      <c r="CB102" s="202"/>
      <c r="CC102" s="202"/>
      <c r="CD102" s="202"/>
      <c r="CE102" s="202"/>
      <c r="CF102" s="202"/>
      <c r="CG102" s="202"/>
      <c r="CH102" s="202"/>
      <c r="CI102" s="202"/>
    </row>
    <row r="103" spans="1:87" ht="15.75" customHeight="1" thickBot="1">
      <c r="A103" s="90" t="s">
        <v>127</v>
      </c>
      <c r="B103" s="193">
        <f t="shared" si="3"/>
        <v>78800443170.300003</v>
      </c>
      <c r="C103" s="91"/>
      <c r="D103" s="198">
        <f t="shared" si="4"/>
        <v>633640.30000000005</v>
      </c>
      <c r="E103" s="202">
        <v>23443</v>
      </c>
      <c r="F103" s="201">
        <v>25604.2</v>
      </c>
      <c r="G103" s="202">
        <v>90550.399999999994</v>
      </c>
      <c r="H103" s="201">
        <v>114067</v>
      </c>
      <c r="I103" s="202">
        <v>379975.7</v>
      </c>
      <c r="J103" s="93"/>
      <c r="K103" s="200">
        <v>93948421030</v>
      </c>
      <c r="L103" s="93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4">
        <v>139404494100</v>
      </c>
      <c r="X103" s="203">
        <v>154553105600</v>
      </c>
      <c r="Y103" s="202">
        <f t="shared" si="5"/>
        <v>-15148611500</v>
      </c>
      <c r="Z103" s="202"/>
      <c r="AA103" s="202"/>
      <c r="AB103" s="202"/>
      <c r="AC103" s="202"/>
      <c r="AD103" s="202"/>
      <c r="AE103" s="202"/>
      <c r="AF103" s="202"/>
      <c r="AG103" s="202"/>
      <c r="AH103" s="202"/>
      <c r="AI103" s="202"/>
      <c r="AJ103" s="202"/>
      <c r="AK103" s="202"/>
      <c r="AL103" s="202"/>
      <c r="AM103" s="202"/>
      <c r="AN103" s="202"/>
      <c r="AO103" s="202"/>
      <c r="AP103" s="202"/>
      <c r="AQ103" s="202"/>
      <c r="AR103" s="202"/>
      <c r="AS103" s="202"/>
      <c r="AT103" s="202"/>
      <c r="AU103" s="202"/>
      <c r="AV103" s="202"/>
      <c r="AW103" s="202"/>
      <c r="AX103" s="202"/>
      <c r="AY103" s="202"/>
      <c r="AZ103" s="202"/>
      <c r="BA103" s="202"/>
      <c r="BB103" s="202"/>
      <c r="BC103" s="202"/>
      <c r="BD103" s="202"/>
      <c r="BE103" s="202"/>
      <c r="BF103" s="202"/>
      <c r="BG103" s="202"/>
      <c r="BH103" s="202"/>
      <c r="BI103" s="202"/>
      <c r="BJ103" s="202"/>
      <c r="BK103" s="202"/>
      <c r="BL103" s="202"/>
      <c r="BM103" s="202"/>
      <c r="BN103" s="202"/>
      <c r="BO103" s="202"/>
      <c r="BP103" s="202"/>
      <c r="BQ103" s="202"/>
      <c r="BR103" s="202"/>
      <c r="BS103" s="202"/>
      <c r="BT103" s="202"/>
      <c r="BU103" s="202"/>
      <c r="BV103" s="202"/>
      <c r="BW103" s="202"/>
      <c r="BX103" s="202"/>
      <c r="BY103" s="202"/>
      <c r="BZ103" s="202"/>
      <c r="CA103" s="202"/>
      <c r="CB103" s="202"/>
      <c r="CC103" s="202"/>
      <c r="CD103" s="202"/>
      <c r="CE103" s="202"/>
      <c r="CF103" s="202"/>
      <c r="CG103" s="202"/>
      <c r="CH103" s="202"/>
      <c r="CI103" s="202"/>
    </row>
    <row r="104" spans="1:87" ht="15.75" customHeight="1">
      <c r="D104" s="98"/>
    </row>
    <row r="109" spans="1:87" ht="15.75" customHeight="1" thickBot="1">
      <c r="A109" s="119" t="s">
        <v>237</v>
      </c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AA109" s="40"/>
    </row>
    <row r="110" spans="1:87" ht="15.75" customHeight="1">
      <c r="A110" s="120" t="s">
        <v>99</v>
      </c>
      <c r="B110" s="118" t="e">
        <f>AVERAGE(B32:B47)</f>
        <v>#DIV/0!</v>
      </c>
      <c r="C110" s="118"/>
      <c r="D110" s="118" t="e">
        <f>AVERAGE(D32:D47)</f>
        <v>#DIV/0!</v>
      </c>
      <c r="E110" s="118" t="e">
        <f t="shared" ref="E110:U110" si="6">AVERAGE(E32:E47)</f>
        <v>#DIV/0!</v>
      </c>
      <c r="F110" s="118" t="e">
        <f t="shared" si="6"/>
        <v>#DIV/0!</v>
      </c>
      <c r="G110" s="118" t="e">
        <f>AVERAGE(G32:G47)</f>
        <v>#DIV/0!</v>
      </c>
      <c r="H110" s="118" t="e">
        <f>AVERAGE(H32:H47)</f>
        <v>#DIV/0!</v>
      </c>
      <c r="I110" s="118" t="e">
        <f t="shared" si="6"/>
        <v>#DIV/0!</v>
      </c>
      <c r="J110" s="118"/>
      <c r="K110" s="118">
        <f t="shared" si="6"/>
        <v>6310402835.3125</v>
      </c>
      <c r="L110" s="118"/>
      <c r="M110" s="118" t="e">
        <f t="shared" si="6"/>
        <v>#DIV/0!</v>
      </c>
      <c r="N110" s="118" t="e">
        <f t="shared" si="6"/>
        <v>#DIV/0!</v>
      </c>
      <c r="O110" s="118" t="e">
        <f t="shared" si="6"/>
        <v>#DIV/0!</v>
      </c>
      <c r="P110" s="118" t="e">
        <f t="shared" si="6"/>
        <v>#DIV/0!</v>
      </c>
      <c r="Q110" s="118" t="e">
        <f t="shared" si="6"/>
        <v>#DIV/0!</v>
      </c>
      <c r="R110" s="118" t="e">
        <f t="shared" ref="R110" si="7">AVERAGE(R32:R47)</f>
        <v>#DIV/0!</v>
      </c>
      <c r="S110" s="118" t="e">
        <f t="shared" si="6"/>
        <v>#DIV/0!</v>
      </c>
      <c r="T110" s="118"/>
      <c r="U110" s="118" t="e">
        <f t="shared" si="6"/>
        <v>#DIV/0!</v>
      </c>
      <c r="V110" s="118"/>
      <c r="W110" s="118">
        <f t="shared" ref="W110" si="8">AVERAGE(W32:W47)</f>
        <v>11916021610.125</v>
      </c>
      <c r="X110" s="118">
        <f t="shared" ref="X110:Y110" si="9">AVERAGE(X32:X47)</f>
        <v>11063045554.5625</v>
      </c>
      <c r="Y110" s="118">
        <f t="shared" si="9"/>
        <v>852976055.56249988</v>
      </c>
      <c r="AA110" s="40"/>
    </row>
    <row r="111" spans="1:87" ht="15.75" customHeight="1">
      <c r="A111" s="122" t="s">
        <v>100</v>
      </c>
      <c r="B111" s="77" t="e">
        <f>AVERAGE(B48:B63)</f>
        <v>#DIV/0!</v>
      </c>
      <c r="C111" s="77"/>
      <c r="D111" s="77" t="e">
        <f>AVERAGE(D48:D63)</f>
        <v>#DIV/0!</v>
      </c>
      <c r="E111" s="77" t="e">
        <f t="shared" ref="E111:U111" si="10">AVERAGE(E48:E63)</f>
        <v>#DIV/0!</v>
      </c>
      <c r="F111" s="77" t="e">
        <f t="shared" si="10"/>
        <v>#DIV/0!</v>
      </c>
      <c r="G111" s="77" t="e">
        <f>AVERAGE(G48:G63)</f>
        <v>#DIV/0!</v>
      </c>
      <c r="H111" s="77" t="e">
        <f>AVERAGE(H48:H63)</f>
        <v>#DIV/0!</v>
      </c>
      <c r="I111" s="77" t="e">
        <f t="shared" si="10"/>
        <v>#DIV/0!</v>
      </c>
      <c r="J111" s="77"/>
      <c r="K111" s="77">
        <f t="shared" si="10"/>
        <v>18943972208.75</v>
      </c>
      <c r="L111" s="77"/>
      <c r="M111" s="77" t="e">
        <f t="shared" si="10"/>
        <v>#DIV/0!</v>
      </c>
      <c r="N111" s="77" t="e">
        <f t="shared" si="10"/>
        <v>#DIV/0!</v>
      </c>
      <c r="O111" s="77" t="e">
        <f t="shared" si="10"/>
        <v>#DIV/0!</v>
      </c>
      <c r="P111" s="77" t="e">
        <f t="shared" si="10"/>
        <v>#DIV/0!</v>
      </c>
      <c r="Q111" s="77" t="e">
        <f t="shared" si="10"/>
        <v>#DIV/0!</v>
      </c>
      <c r="R111" s="77" t="e">
        <f t="shared" ref="R111" si="11">AVERAGE(R48:R63)</f>
        <v>#DIV/0!</v>
      </c>
      <c r="S111" s="77" t="e">
        <f t="shared" si="10"/>
        <v>#DIV/0!</v>
      </c>
      <c r="T111" s="77"/>
      <c r="U111" s="77" t="e">
        <f t="shared" si="10"/>
        <v>#DIV/0!</v>
      </c>
      <c r="V111" s="77"/>
      <c r="W111" s="77">
        <f t="shared" ref="W111" si="12">AVERAGE(W48:W63)</f>
        <v>34472036843.125</v>
      </c>
      <c r="X111" s="77">
        <f t="shared" ref="X111:Y111" si="13">AVERAGE(X48:X63)</f>
        <v>37584074182.5</v>
      </c>
      <c r="Y111" s="77">
        <f t="shared" si="13"/>
        <v>-3112037339.375</v>
      </c>
      <c r="AA111" s="40"/>
    </row>
    <row r="112" spans="1:87" ht="15.75" customHeight="1">
      <c r="A112" s="122" t="s">
        <v>101</v>
      </c>
      <c r="B112" s="77">
        <f>AVERAGE(B64:B79)</f>
        <v>36295794000.828575</v>
      </c>
      <c r="C112" s="77"/>
      <c r="D112" s="77">
        <f>AVERAGE(D64:D79)</f>
        <v>325467.97142857144</v>
      </c>
      <c r="E112" s="77">
        <f t="shared" ref="E112:U112" si="14">AVERAGE(E64:E79)</f>
        <v>12992</v>
      </c>
      <c r="F112" s="77">
        <f t="shared" si="14"/>
        <v>17380.685714285715</v>
      </c>
      <c r="G112" s="77">
        <f>AVERAGE(G64:G79)</f>
        <v>58903.714285714283</v>
      </c>
      <c r="H112" s="77">
        <f>AVERAGE(H64:H79)</f>
        <v>77932.314285714296</v>
      </c>
      <c r="I112" s="77">
        <f t="shared" si="14"/>
        <v>158259.25714285715</v>
      </c>
      <c r="J112" s="77"/>
      <c r="K112" s="77">
        <f t="shared" si="14"/>
        <v>35507558573.125</v>
      </c>
      <c r="L112" s="77"/>
      <c r="M112" s="77" t="e">
        <f t="shared" si="14"/>
        <v>#DIV/0!</v>
      </c>
      <c r="N112" s="77" t="e">
        <f t="shared" si="14"/>
        <v>#DIV/0!</v>
      </c>
      <c r="O112" s="77" t="e">
        <f t="shared" si="14"/>
        <v>#DIV/0!</v>
      </c>
      <c r="P112" s="77" t="e">
        <f t="shared" si="14"/>
        <v>#DIV/0!</v>
      </c>
      <c r="Q112" s="77" t="e">
        <f t="shared" si="14"/>
        <v>#DIV/0!</v>
      </c>
      <c r="R112" s="77" t="e">
        <f t="shared" ref="R112" si="15">AVERAGE(R64:R79)</f>
        <v>#DIV/0!</v>
      </c>
      <c r="S112" s="77" t="e">
        <f t="shared" si="14"/>
        <v>#DIV/0!</v>
      </c>
      <c r="T112" s="77"/>
      <c r="U112" s="77" t="e">
        <f t="shared" si="14"/>
        <v>#DIV/0!</v>
      </c>
      <c r="V112" s="77"/>
      <c r="W112" s="77">
        <f t="shared" ref="W112" si="16">AVERAGE(W64:W79)</f>
        <v>56005114196.875</v>
      </c>
      <c r="X112" s="77">
        <f t="shared" ref="X112:Y112" si="17">AVERAGE(X64:X79)</f>
        <v>62824029520.625</v>
      </c>
      <c r="Y112" s="77">
        <f t="shared" si="17"/>
        <v>-6818915323.75</v>
      </c>
      <c r="AA112" s="40"/>
    </row>
    <row r="113" spans="1:27" ht="15.75" customHeight="1" thickBot="1">
      <c r="A113" s="123" t="s">
        <v>263</v>
      </c>
      <c r="B113" s="93">
        <f>AVERAGE(B80:B103)</f>
        <v>49017454288.262489</v>
      </c>
      <c r="C113" s="93"/>
      <c r="D113" s="93">
        <f>AVERAGE(D80:D103)</f>
        <v>496768.26249999995</v>
      </c>
      <c r="E113" s="93">
        <f t="shared" ref="E113:U113" si="18">AVERAGE(E80:E103)</f>
        <v>22628.712499999998</v>
      </c>
      <c r="F113" s="93">
        <f t="shared" si="18"/>
        <v>24713.112500000003</v>
      </c>
      <c r="G113" s="93">
        <f>AVERAGE(G80:G103)</f>
        <v>72625.999999999985</v>
      </c>
      <c r="H113" s="93">
        <f>AVERAGE(H80:H103)</f>
        <v>102667.68750000001</v>
      </c>
      <c r="I113" s="93">
        <f t="shared" si="18"/>
        <v>274132.75000000006</v>
      </c>
      <c r="J113" s="93"/>
      <c r="K113" s="93">
        <f t="shared" si="18"/>
        <v>67223263334.583336</v>
      </c>
      <c r="L113" s="93"/>
      <c r="M113" s="93" t="e">
        <f t="shared" si="18"/>
        <v>#DIV/0!</v>
      </c>
      <c r="N113" s="93" t="e">
        <f t="shared" si="18"/>
        <v>#DIV/0!</v>
      </c>
      <c r="O113" s="93" t="e">
        <f t="shared" si="18"/>
        <v>#DIV/0!</v>
      </c>
      <c r="P113" s="93" t="e">
        <f t="shared" si="18"/>
        <v>#DIV/0!</v>
      </c>
      <c r="Q113" s="93" t="e">
        <f t="shared" si="18"/>
        <v>#DIV/0!</v>
      </c>
      <c r="R113" s="93" t="e">
        <f t="shared" ref="R113" si="19">AVERAGE(R80:R103)</f>
        <v>#DIV/0!</v>
      </c>
      <c r="S113" s="93" t="e">
        <f t="shared" si="18"/>
        <v>#DIV/0!</v>
      </c>
      <c r="T113" s="93"/>
      <c r="U113" s="93" t="e">
        <f t="shared" si="18"/>
        <v>#DIV/0!</v>
      </c>
      <c r="V113" s="93"/>
      <c r="W113" s="93">
        <f t="shared" ref="W113" si="20">AVERAGE(W80:W103)</f>
        <v>114054099072.08333</v>
      </c>
      <c r="X113" s="93">
        <f t="shared" ref="X113:Y113" si="21">AVERAGE(X80:X103)</f>
        <v>132260404886.66667</v>
      </c>
      <c r="Y113" s="93">
        <f t="shared" si="21"/>
        <v>-18206305814.583332</v>
      </c>
      <c r="AA113" s="40"/>
    </row>
  </sheetData>
  <mergeCells count="6">
    <mergeCell ref="B3:D3"/>
    <mergeCell ref="L3:Q3"/>
    <mergeCell ref="D7:H7"/>
    <mergeCell ref="W7:Y7"/>
    <mergeCell ref="N7:P7"/>
    <mergeCell ref="Q7:S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3" tint="0.39997558519241921"/>
  </sheetPr>
  <dimension ref="A1:EZ124"/>
  <sheetViews>
    <sheetView showGridLines="0" zoomScale="75" zoomScaleNormal="75" workbookViewId="0">
      <pane xSplit="1" ySplit="11" topLeftCell="B68" activePane="bottomRight" state="frozen"/>
      <selection activeCell="J25" sqref="J25"/>
      <selection pane="topRight" activeCell="J25" sqref="J25"/>
      <selection pane="bottomLeft" activeCell="J25" sqref="J25"/>
      <selection pane="bottomRight" activeCell="F106" sqref="C84:F106"/>
    </sheetView>
  </sheetViews>
  <sheetFormatPr defaultColWidth="9.109375" defaultRowHeight="15.75" customHeight="1"/>
  <cols>
    <col min="1" max="1" width="19.44140625" style="40" customWidth="1"/>
    <col min="2" max="2" width="24" style="40" customWidth="1"/>
    <col min="3" max="4" width="17.88671875" style="40" customWidth="1"/>
    <col min="5" max="5" width="19.109375" style="40" customWidth="1"/>
    <col min="6" max="6" width="15.21875" style="40" customWidth="1"/>
    <col min="7" max="7" width="18.44140625" style="40" customWidth="1"/>
    <col min="8" max="8" width="12.44140625" style="40" customWidth="1"/>
    <col min="9" max="9" width="20.44140625" style="40" customWidth="1"/>
    <col min="10" max="10" width="20.88671875" style="40" customWidth="1"/>
    <col min="11" max="11" width="20.77734375" style="40" customWidth="1"/>
    <col min="12" max="12" width="14" style="40" customWidth="1"/>
    <col min="13" max="13" width="20.44140625" style="40" customWidth="1"/>
    <col min="14" max="14" width="17.77734375" style="40" customWidth="1"/>
    <col min="15" max="15" width="14.21875" style="40" customWidth="1"/>
    <col min="16" max="16" width="18.88671875" style="40" customWidth="1"/>
    <col min="17" max="17" width="18.44140625" style="40" customWidth="1"/>
    <col min="18" max="18" width="6.44140625" style="40" customWidth="1"/>
    <col min="19" max="19" width="33.21875" style="40" customWidth="1"/>
    <col min="20" max="20" width="9.109375" style="40" customWidth="1"/>
    <col min="21" max="21" width="18.77734375" style="40" customWidth="1"/>
    <col min="22" max="22" width="19.21875" style="40" customWidth="1"/>
    <col min="23" max="23" width="14.109375" style="40" customWidth="1"/>
    <col min="24" max="24" width="21" style="40" customWidth="1"/>
    <col min="25" max="25" width="8.21875" style="40" customWidth="1"/>
    <col min="26" max="26" width="26" style="40" customWidth="1"/>
    <col min="27" max="27" width="13" style="40" customWidth="1"/>
    <col min="28" max="16384" width="9.109375" style="40"/>
  </cols>
  <sheetData>
    <row r="1" spans="1:156" ht="30.3" customHeight="1">
      <c r="A1" s="37"/>
      <c r="B1" s="38" t="s">
        <v>157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7"/>
      <c r="Q1" s="39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</row>
    <row r="2" spans="1:156" ht="25.2" customHeight="1" thickBot="1">
      <c r="A2" s="41"/>
      <c r="B2" s="42" t="s">
        <v>158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1"/>
      <c r="Q2" s="43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</row>
    <row r="3" spans="1:156" s="47" customFormat="1" ht="22.65" customHeight="1">
      <c r="A3" s="44"/>
      <c r="B3" s="207" t="s">
        <v>160</v>
      </c>
      <c r="C3" s="207"/>
      <c r="D3" s="207"/>
      <c r="E3" s="207"/>
      <c r="F3" s="45"/>
      <c r="G3" s="45"/>
      <c r="H3" s="45"/>
      <c r="I3" s="45"/>
      <c r="J3" s="208"/>
      <c r="K3" s="208"/>
      <c r="L3" s="208"/>
      <c r="M3" s="208"/>
      <c r="N3" s="208"/>
      <c r="O3" s="208"/>
      <c r="P3" s="208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</row>
    <row r="4" spans="1:156" ht="8.1" customHeight="1">
      <c r="A4" s="47"/>
      <c r="B4" s="101"/>
      <c r="C4" s="101"/>
      <c r="D4" s="101"/>
      <c r="E4" s="101"/>
      <c r="F4" s="101"/>
      <c r="G4" s="101"/>
      <c r="H4" s="47"/>
      <c r="I4" s="101"/>
      <c r="J4" s="47"/>
      <c r="K4" s="101"/>
      <c r="L4" s="101"/>
      <c r="M4" s="101"/>
      <c r="N4" s="101"/>
      <c r="O4" s="101"/>
      <c r="P4" s="101"/>
      <c r="Q4" s="101"/>
      <c r="R4" s="47"/>
      <c r="S4" s="101"/>
      <c r="T4" s="47"/>
      <c r="U4" s="101"/>
      <c r="V4" s="101"/>
      <c r="W4" s="101"/>
      <c r="X4" s="101"/>
      <c r="Y4" s="101"/>
      <c r="Z4" s="47"/>
      <c r="AA4" s="47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  <c r="DS4" s="51"/>
      <c r="DT4" s="51"/>
      <c r="DU4" s="51"/>
      <c r="DV4" s="51"/>
      <c r="DW4" s="51"/>
      <c r="DX4" s="51"/>
      <c r="DY4" s="51"/>
      <c r="DZ4" s="51"/>
      <c r="EA4" s="51"/>
      <c r="EB4" s="51"/>
      <c r="EC4" s="51"/>
      <c r="ED4" s="51"/>
      <c r="EE4" s="51"/>
      <c r="EF4" s="51"/>
      <c r="EG4" s="51"/>
      <c r="EH4" s="51"/>
      <c r="EI4" s="51"/>
      <c r="EJ4" s="51"/>
      <c r="EK4" s="51"/>
      <c r="EL4" s="51"/>
      <c r="EM4" s="51"/>
      <c r="EN4" s="51"/>
      <c r="EO4" s="51"/>
      <c r="EP4" s="51"/>
      <c r="EQ4" s="51"/>
      <c r="ER4" s="51"/>
      <c r="ES4" s="51"/>
      <c r="ET4" s="51"/>
      <c r="EU4" s="51"/>
      <c r="EV4" s="51"/>
      <c r="EW4" s="51"/>
      <c r="EX4" s="51"/>
      <c r="EY4" s="51"/>
      <c r="EZ4" s="51"/>
    </row>
    <row r="5" spans="1:156" ht="13.8">
      <c r="A5" s="47"/>
      <c r="B5" s="101"/>
      <c r="C5" s="101"/>
      <c r="D5" s="101"/>
      <c r="E5" s="101"/>
      <c r="F5" s="101"/>
      <c r="G5" s="101"/>
      <c r="H5" s="47"/>
      <c r="I5" s="101"/>
      <c r="J5" s="47"/>
      <c r="K5" s="101"/>
      <c r="L5" s="101"/>
      <c r="M5" s="101"/>
      <c r="N5" s="101"/>
      <c r="O5" s="101"/>
      <c r="P5" s="101"/>
      <c r="Q5" s="101"/>
      <c r="R5" s="47"/>
      <c r="S5" s="101"/>
      <c r="T5" s="47"/>
      <c r="U5" s="101"/>
      <c r="V5" s="101"/>
      <c r="W5" s="101"/>
      <c r="X5" s="101"/>
      <c r="Y5" s="101"/>
      <c r="Z5" s="47"/>
      <c r="AA5" s="47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51"/>
      <c r="DT5" s="51"/>
      <c r="DU5" s="51"/>
      <c r="DV5" s="51"/>
      <c r="DW5" s="51"/>
      <c r="DX5" s="51"/>
      <c r="DY5" s="51"/>
      <c r="DZ5" s="51"/>
      <c r="EA5" s="51"/>
      <c r="EB5" s="51"/>
      <c r="EC5" s="51"/>
      <c r="ED5" s="51"/>
      <c r="EE5" s="51"/>
      <c r="EF5" s="51"/>
      <c r="EG5" s="51"/>
      <c r="EH5" s="51"/>
      <c r="EI5" s="51"/>
      <c r="EJ5" s="51"/>
      <c r="EK5" s="51"/>
      <c r="EL5" s="51"/>
      <c r="EM5" s="51"/>
      <c r="EN5" s="51"/>
      <c r="EO5" s="51"/>
      <c r="EP5" s="51"/>
      <c r="EQ5" s="51"/>
      <c r="ER5" s="51"/>
      <c r="ES5" s="51"/>
      <c r="ET5" s="51"/>
      <c r="EU5" s="51"/>
      <c r="EV5" s="51"/>
      <c r="EW5" s="51"/>
      <c r="EX5" s="51"/>
      <c r="EY5" s="51"/>
      <c r="EZ5" s="51"/>
    </row>
    <row r="6" spans="1:156" ht="13.8">
      <c r="A6" s="47"/>
      <c r="B6" s="101"/>
      <c r="C6" s="101"/>
      <c r="D6" s="101"/>
      <c r="E6" s="101"/>
      <c r="F6" s="101"/>
      <c r="G6" s="101"/>
      <c r="H6" s="47"/>
      <c r="I6" s="101"/>
      <c r="J6" s="47"/>
      <c r="K6" s="101"/>
      <c r="L6" s="101"/>
      <c r="M6" s="101"/>
      <c r="N6" s="101"/>
      <c r="O6" s="101"/>
      <c r="P6" s="101"/>
      <c r="Q6" s="101"/>
      <c r="R6" s="47"/>
      <c r="S6" s="101"/>
      <c r="T6" s="47"/>
      <c r="U6" s="101"/>
      <c r="V6" s="101"/>
      <c r="W6" s="101"/>
      <c r="X6" s="101"/>
      <c r="Y6" s="101"/>
      <c r="Z6" s="47"/>
      <c r="AA6" s="47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 s="51"/>
      <c r="DT6" s="51"/>
      <c r="DU6" s="51"/>
      <c r="DV6" s="51"/>
      <c r="DW6" s="51"/>
      <c r="DX6" s="51"/>
      <c r="DY6" s="51"/>
      <c r="DZ6" s="51"/>
      <c r="EA6" s="51"/>
      <c r="EB6" s="51"/>
      <c r="EC6" s="51"/>
      <c r="ED6" s="51"/>
      <c r="EE6" s="51"/>
      <c r="EF6" s="51"/>
      <c r="EG6" s="51"/>
      <c r="EH6" s="51"/>
      <c r="EI6" s="51"/>
      <c r="EJ6" s="51"/>
      <c r="EK6" s="51"/>
      <c r="EL6" s="51"/>
      <c r="EM6" s="51"/>
      <c r="EN6" s="51"/>
      <c r="EO6" s="51"/>
      <c r="EP6" s="51"/>
      <c r="EQ6" s="51"/>
      <c r="ER6" s="51"/>
      <c r="ES6" s="51"/>
      <c r="ET6" s="51"/>
      <c r="EU6" s="51"/>
      <c r="EV6" s="51"/>
      <c r="EW6" s="51"/>
      <c r="EX6" s="51"/>
      <c r="EY6" s="51"/>
      <c r="EZ6" s="51"/>
    </row>
    <row r="7" spans="1:156" ht="13.8">
      <c r="A7" s="47"/>
      <c r="B7" s="101"/>
      <c r="C7" s="101"/>
      <c r="D7" s="101"/>
      <c r="E7" s="101"/>
      <c r="F7" s="101"/>
      <c r="G7" s="101"/>
      <c r="H7" s="47"/>
      <c r="I7" s="101"/>
      <c r="J7" s="47"/>
      <c r="K7" s="101"/>
      <c r="L7" s="101"/>
      <c r="M7" s="101"/>
      <c r="N7" s="101"/>
      <c r="O7" s="101"/>
      <c r="P7" s="101"/>
      <c r="Q7" s="101"/>
      <c r="R7" s="47"/>
      <c r="S7" s="101"/>
      <c r="T7" s="47"/>
      <c r="U7" s="101"/>
      <c r="V7" s="101"/>
      <c r="W7" s="101"/>
      <c r="X7" s="101"/>
      <c r="Y7" s="101"/>
      <c r="Z7" s="47"/>
      <c r="AA7" s="47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1"/>
      <c r="DL7" s="51"/>
      <c r="DM7" s="51"/>
      <c r="DN7" s="51"/>
      <c r="DO7" s="51"/>
      <c r="DP7" s="51"/>
      <c r="DQ7" s="51"/>
      <c r="DR7" s="51"/>
      <c r="DS7" s="51"/>
      <c r="DT7" s="51"/>
      <c r="DU7" s="51"/>
      <c r="DV7" s="51"/>
      <c r="DW7" s="51"/>
      <c r="DX7" s="51"/>
      <c r="DY7" s="51"/>
      <c r="DZ7" s="51"/>
      <c r="EA7" s="51"/>
      <c r="EB7" s="51"/>
      <c r="EC7" s="51"/>
      <c r="ED7" s="51"/>
      <c r="EE7" s="51"/>
      <c r="EF7" s="51"/>
      <c r="EG7" s="51"/>
      <c r="EH7" s="51"/>
      <c r="EI7" s="51"/>
      <c r="EJ7" s="51"/>
      <c r="EK7" s="51"/>
      <c r="EL7" s="51"/>
      <c r="EM7" s="51"/>
      <c r="EN7" s="51"/>
      <c r="EO7" s="51"/>
      <c r="EP7" s="51"/>
      <c r="EQ7" s="51"/>
      <c r="ER7" s="51"/>
      <c r="ES7" s="51"/>
      <c r="ET7" s="51"/>
      <c r="EU7" s="51"/>
      <c r="EV7" s="51"/>
      <c r="EW7" s="51"/>
      <c r="EX7" s="51"/>
      <c r="EY7" s="51"/>
      <c r="EZ7" s="51"/>
    </row>
    <row r="8" spans="1:156" ht="13.8">
      <c r="A8" s="47"/>
      <c r="B8" s="211"/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47"/>
      <c r="S8" s="47"/>
      <c r="T8" s="47"/>
      <c r="U8" s="212"/>
      <c r="V8" s="212"/>
      <c r="W8" s="212"/>
      <c r="X8" s="102"/>
      <c r="Y8" s="47"/>
      <c r="Z8" s="47"/>
      <c r="AA8" s="47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  <c r="CQ8" s="51"/>
      <c r="CR8" s="51"/>
      <c r="CS8" s="51"/>
      <c r="CT8" s="51"/>
      <c r="CU8" s="51"/>
      <c r="CV8" s="51"/>
      <c r="CW8" s="51"/>
      <c r="CX8" s="51"/>
      <c r="CY8" s="51"/>
      <c r="CZ8" s="51"/>
      <c r="DA8" s="51"/>
      <c r="DB8" s="51"/>
      <c r="DC8" s="51"/>
      <c r="DD8" s="51"/>
      <c r="DE8" s="51"/>
      <c r="DF8" s="51"/>
      <c r="DG8" s="51"/>
      <c r="DH8" s="51"/>
      <c r="DI8" s="51"/>
      <c r="DJ8" s="51"/>
      <c r="DK8" s="51"/>
      <c r="DL8" s="51"/>
      <c r="DM8" s="51"/>
      <c r="DN8" s="51"/>
      <c r="DO8" s="51"/>
      <c r="DP8" s="51"/>
      <c r="DQ8" s="51"/>
      <c r="DR8" s="51"/>
      <c r="DS8" s="51"/>
      <c r="DT8" s="51"/>
      <c r="DU8" s="51"/>
      <c r="DV8" s="51"/>
      <c r="DW8" s="51"/>
      <c r="DX8" s="51"/>
      <c r="DY8" s="51"/>
      <c r="DZ8" s="51"/>
      <c r="EA8" s="51"/>
      <c r="EB8" s="51"/>
      <c r="EC8" s="51"/>
      <c r="ED8" s="51"/>
      <c r="EE8" s="51"/>
      <c r="EF8" s="51"/>
      <c r="EG8" s="51"/>
      <c r="EH8" s="51"/>
      <c r="EI8" s="51"/>
      <c r="EJ8" s="51"/>
      <c r="EK8" s="51"/>
      <c r="EL8" s="51"/>
      <c r="EM8" s="51"/>
      <c r="EN8" s="51"/>
      <c r="EO8" s="51"/>
      <c r="EP8" s="51"/>
      <c r="EQ8" s="51"/>
      <c r="ER8" s="51"/>
      <c r="ES8" s="51"/>
      <c r="ET8" s="51"/>
      <c r="EU8" s="51"/>
      <c r="EV8" s="51"/>
      <c r="EW8" s="51"/>
      <c r="EX8" s="51"/>
      <c r="EY8" s="51"/>
      <c r="EZ8" s="51"/>
    </row>
    <row r="9" spans="1:156" ht="19.649999999999999" customHeight="1" thickBot="1">
      <c r="A9" s="47"/>
      <c r="B9" s="103" t="s">
        <v>139</v>
      </c>
      <c r="C9" s="47"/>
      <c r="D9" s="104" t="s">
        <v>265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  <c r="DK9" s="51"/>
      <c r="DL9" s="51"/>
      <c r="DM9" s="51"/>
      <c r="DN9" s="51"/>
      <c r="DO9" s="51"/>
      <c r="DP9" s="51"/>
      <c r="DQ9" s="51"/>
      <c r="DR9" s="51"/>
      <c r="DS9" s="51"/>
      <c r="DT9" s="51"/>
      <c r="DU9" s="51"/>
      <c r="DV9" s="51"/>
      <c r="DW9" s="51"/>
      <c r="DX9" s="51"/>
      <c r="DY9" s="51"/>
      <c r="DZ9" s="51"/>
      <c r="EA9" s="51"/>
      <c r="EB9" s="51"/>
      <c r="EC9" s="51"/>
      <c r="ED9" s="51"/>
      <c r="EE9" s="51"/>
      <c r="EF9" s="51"/>
      <c r="EG9" s="51"/>
      <c r="EH9" s="51"/>
      <c r="EI9" s="51"/>
      <c r="EJ9" s="51"/>
      <c r="EK9" s="51"/>
      <c r="EL9" s="51"/>
      <c r="EM9" s="51"/>
      <c r="EN9" s="51"/>
      <c r="EO9" s="51"/>
      <c r="EP9" s="51"/>
      <c r="EQ9" s="51"/>
      <c r="ER9" s="51"/>
      <c r="ES9" s="51"/>
      <c r="ET9" s="51"/>
      <c r="EU9" s="51"/>
      <c r="EV9" s="51"/>
      <c r="EW9" s="51"/>
      <c r="EX9" s="51"/>
      <c r="EY9" s="51"/>
      <c r="EZ9" s="51"/>
    </row>
    <row r="10" spans="1:156" ht="46.2" customHeight="1" thickBot="1">
      <c r="A10" s="57"/>
      <c r="B10" s="209" t="s">
        <v>240</v>
      </c>
      <c r="C10" s="209"/>
      <c r="D10" s="209"/>
      <c r="E10" s="209"/>
      <c r="F10" s="209"/>
      <c r="G10" s="58"/>
      <c r="H10" s="57"/>
      <c r="I10" s="209" t="s">
        <v>230</v>
      </c>
      <c r="J10" s="209"/>
      <c r="K10" s="209" t="s">
        <v>227</v>
      </c>
      <c r="L10" s="209"/>
      <c r="M10" s="209"/>
      <c r="N10" s="209"/>
      <c r="O10" s="209"/>
      <c r="P10" s="209"/>
      <c r="Q10" s="209"/>
      <c r="R10" s="57"/>
      <c r="S10" s="58" t="s">
        <v>228</v>
      </c>
      <c r="T10" s="57"/>
      <c r="U10" s="209" t="s">
        <v>229</v>
      </c>
      <c r="V10" s="209"/>
      <c r="W10" s="209"/>
      <c r="X10" s="209"/>
      <c r="Y10" s="47"/>
      <c r="Z10" s="47"/>
      <c r="AA10" s="47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51"/>
      <c r="DL10" s="51"/>
      <c r="DM10" s="51"/>
      <c r="DN10" s="51"/>
      <c r="DO10" s="51"/>
      <c r="DP10" s="51"/>
      <c r="DQ10" s="51"/>
      <c r="DR10" s="51"/>
      <c r="DS10" s="51"/>
      <c r="DT10" s="51"/>
      <c r="DU10" s="51"/>
      <c r="DV10" s="51"/>
      <c r="DW10" s="51"/>
      <c r="DX10" s="51"/>
      <c r="DY10" s="51"/>
      <c r="DZ10" s="51"/>
      <c r="EA10" s="51"/>
      <c r="EB10" s="51"/>
      <c r="EC10" s="51"/>
      <c r="ED10" s="51"/>
      <c r="EE10" s="51"/>
      <c r="EF10" s="51"/>
      <c r="EG10" s="51"/>
      <c r="EH10" s="51"/>
      <c r="EI10" s="51"/>
      <c r="EJ10" s="51"/>
      <c r="EK10" s="51"/>
      <c r="EL10" s="51"/>
      <c r="EM10" s="51"/>
      <c r="EN10" s="51"/>
      <c r="EO10" s="51"/>
      <c r="EP10" s="51"/>
      <c r="EQ10" s="51"/>
      <c r="ER10" s="51"/>
      <c r="ES10" s="51"/>
      <c r="ET10" s="51"/>
      <c r="EU10" s="51"/>
      <c r="EV10" s="51"/>
      <c r="EW10" s="51"/>
      <c r="EX10" s="51"/>
      <c r="EY10" s="51"/>
      <c r="EZ10" s="51"/>
    </row>
    <row r="11" spans="1:156" ht="40.799999999999997" customHeight="1" thickBot="1">
      <c r="A11" s="61"/>
      <c r="B11" s="61" t="s">
        <v>254</v>
      </c>
      <c r="C11" s="61" t="s">
        <v>166</v>
      </c>
      <c r="D11" s="64" t="s">
        <v>196</v>
      </c>
      <c r="E11" s="64" t="s">
        <v>197</v>
      </c>
      <c r="F11" s="64" t="s">
        <v>168</v>
      </c>
      <c r="G11" s="61" t="s">
        <v>194</v>
      </c>
      <c r="H11" s="61"/>
      <c r="I11" s="61" t="s">
        <v>254</v>
      </c>
      <c r="J11" s="61"/>
      <c r="K11" s="61" t="s">
        <v>173</v>
      </c>
      <c r="L11" s="61" t="s">
        <v>175</v>
      </c>
      <c r="M11" s="61" t="s">
        <v>198</v>
      </c>
      <c r="N11" s="61" t="s">
        <v>199</v>
      </c>
      <c r="O11" s="61" t="s">
        <v>181</v>
      </c>
      <c r="P11" s="61" t="s">
        <v>200</v>
      </c>
      <c r="Q11" s="61" t="s">
        <v>201</v>
      </c>
      <c r="R11" s="63"/>
      <c r="S11" s="63"/>
      <c r="T11" s="63"/>
      <c r="U11" s="61" t="s">
        <v>190</v>
      </c>
      <c r="V11" s="61" t="s">
        <v>192</v>
      </c>
      <c r="W11" s="61" t="s">
        <v>194</v>
      </c>
      <c r="X11" s="61" t="s">
        <v>202</v>
      </c>
      <c r="Y11" s="105"/>
      <c r="Z11" s="47"/>
      <c r="AA11" s="47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  <c r="DK11" s="51"/>
      <c r="DL11" s="51"/>
      <c r="DM11" s="51"/>
      <c r="DN11" s="51"/>
      <c r="DO11" s="51"/>
      <c r="DP11" s="51"/>
      <c r="DQ11" s="51"/>
      <c r="DR11" s="51"/>
      <c r="DS11" s="51"/>
      <c r="DT11" s="51"/>
      <c r="DU11" s="51"/>
      <c r="DV11" s="51"/>
      <c r="DW11" s="51"/>
      <c r="DX11" s="51"/>
      <c r="DY11" s="51"/>
      <c r="DZ11" s="51"/>
      <c r="EA11" s="51"/>
      <c r="EB11" s="51"/>
      <c r="EC11" s="51"/>
      <c r="ED11" s="51"/>
      <c r="EE11" s="51"/>
      <c r="EF11" s="51"/>
      <c r="EG11" s="51"/>
      <c r="EH11" s="51"/>
      <c r="EI11" s="51"/>
      <c r="EJ11" s="51"/>
      <c r="EK11" s="51"/>
      <c r="EL11" s="51"/>
      <c r="EM11" s="51"/>
      <c r="EN11" s="51"/>
      <c r="EO11" s="51"/>
      <c r="EP11" s="51"/>
      <c r="EQ11" s="51"/>
      <c r="ER11" s="51"/>
      <c r="ES11" s="51"/>
      <c r="ET11" s="51"/>
      <c r="EU11" s="51"/>
      <c r="EV11" s="51"/>
      <c r="EW11" s="51"/>
      <c r="EX11" s="51"/>
      <c r="EY11" s="51"/>
      <c r="EZ11" s="51"/>
    </row>
    <row r="12" spans="1:156" ht="15.75" customHeight="1">
      <c r="A12" s="40" t="s">
        <v>0</v>
      </c>
      <c r="B12" s="103" t="e">
        <f t="shared" ref="B12:B17" si="0">SUM(C12:G12)</f>
        <v>#DIV/0!</v>
      </c>
      <c r="C12" s="184" t="e">
        <f>'1.Reel GSYH '!E9/'1.Reel GSYH '!$B9*100</f>
        <v>#DIV/0!</v>
      </c>
      <c r="D12" s="185" t="e">
        <f>'1.Reel GSYH '!F9/'1.Reel GSYH '!$B9*100</f>
        <v>#DIV/0!</v>
      </c>
      <c r="E12" s="185" t="e">
        <f>'1.Reel GSYH '!G9/'1.Reel GSYH '!$B9*100</f>
        <v>#DIV/0!</v>
      </c>
      <c r="F12" s="185" t="e">
        <f>'1.Reel GSYH '!H9/'1.Reel GSYH '!$B9*100</f>
        <v>#DIV/0!</v>
      </c>
      <c r="G12" s="166" t="e">
        <f>'1.Reel GSYH '!I9/'1.Reel GSYH '!$B9*100</f>
        <v>#DIV/0!</v>
      </c>
      <c r="H12" s="74"/>
      <c r="I12" s="116" t="e">
        <f>'1.Reel GSYH '!K9/'1.Reel GSYH '!$B9*100</f>
        <v>#DIV/0!</v>
      </c>
      <c r="J12" s="118"/>
      <c r="K12" s="186" t="e">
        <f>'1.Reel GSYH '!M9/'1.Reel GSYH '!$B9*100</f>
        <v>#DIV/0!</v>
      </c>
      <c r="L12" s="116" t="e">
        <f>'1.Reel GSYH '!N9/'1.Reel GSYH '!$B9*100</f>
        <v>#DIV/0!</v>
      </c>
      <c r="M12" s="116" t="e">
        <f>'1.Reel GSYH '!O9/'1.Reel GSYH '!$B9*100</f>
        <v>#DIV/0!</v>
      </c>
      <c r="N12" s="116" t="e">
        <f>'1.Reel GSYH '!P9/'1.Reel GSYH '!$B9*100</f>
        <v>#DIV/0!</v>
      </c>
      <c r="O12" s="116" t="e">
        <f>'1.Reel GSYH '!Q9/'1.Reel GSYH '!$B9*100</f>
        <v>#DIV/0!</v>
      </c>
      <c r="P12" s="116" t="e">
        <f>'1.Reel GSYH '!R9/'1.Reel GSYH '!$B9*100</f>
        <v>#DIV/0!</v>
      </c>
      <c r="Q12" s="166" t="e">
        <f>'1.Reel GSYH '!S9/'1.Reel GSYH '!$B9*100</f>
        <v>#DIV/0!</v>
      </c>
      <c r="R12" s="77"/>
      <c r="S12" s="106" t="e">
        <f>'1.Reel GSYH '!U9/'1.Reel GSYH '!$B9*100</f>
        <v>#DIV/0!</v>
      </c>
      <c r="T12" s="77"/>
      <c r="U12" s="186" t="e">
        <f>'1.Reel GSYH '!W9/'1.Reel GSYH '!$B9*100</f>
        <v>#DIV/0!</v>
      </c>
      <c r="V12" s="116" t="e">
        <f>'1.Reel GSYH '!X9/'1.Reel GSYH '!$B9*100</f>
        <v>#DIV/0!</v>
      </c>
      <c r="W12" s="116" t="e">
        <f>'1.Reel GSYH '!Y9/'1.Reel GSYH '!$B9*100</f>
        <v>#DIV/0!</v>
      </c>
      <c r="X12" s="187" t="e">
        <f t="shared" ref="X12:X24" si="1">(U12+V12)</f>
        <v>#DIV/0!</v>
      </c>
      <c r="Y12" s="109"/>
    </row>
    <row r="13" spans="1:156" ht="15.75" customHeight="1">
      <c r="A13" s="40" t="s">
        <v>1</v>
      </c>
      <c r="B13" s="103" t="e">
        <f t="shared" si="0"/>
        <v>#DIV/0!</v>
      </c>
      <c r="C13" s="75" t="e">
        <f>'1.Reel GSYH '!E10/'1.Reel GSYH '!$B10*100</f>
        <v>#DIV/0!</v>
      </c>
      <c r="D13" s="78" t="e">
        <f>'1.Reel GSYH '!F10/'1.Reel GSYH '!$B10*100</f>
        <v>#DIV/0!</v>
      </c>
      <c r="E13" s="78" t="e">
        <f>'1.Reel GSYH '!G10/'1.Reel GSYH '!$B10*100</f>
        <v>#DIV/0!</v>
      </c>
      <c r="F13" s="78" t="e">
        <f>'1.Reel GSYH '!H10/'1.Reel GSYH '!$B10*100</f>
        <v>#DIV/0!</v>
      </c>
      <c r="G13" s="107" t="e">
        <f>'1.Reel GSYH '!I10/'1.Reel GSYH '!$B10*100</f>
        <v>#DIV/0!</v>
      </c>
      <c r="H13" s="74"/>
      <c r="I13" s="106" t="e">
        <f>'1.Reel GSYH '!K10/'1.Reel GSYH '!$B10*100</f>
        <v>#DIV/0!</v>
      </c>
      <c r="J13" s="77"/>
      <c r="K13" s="53" t="e">
        <f>'1.Reel GSYH '!M10/'1.Reel GSYH '!$B10*100</f>
        <v>#DIV/0!</v>
      </c>
      <c r="L13" s="106" t="e">
        <f>'1.Reel GSYH '!N10/'1.Reel GSYH '!$B10*100</f>
        <v>#DIV/0!</v>
      </c>
      <c r="M13" s="106" t="e">
        <f>'1.Reel GSYH '!O10/'1.Reel GSYH '!$B10*100</f>
        <v>#DIV/0!</v>
      </c>
      <c r="N13" s="106" t="e">
        <f>'1.Reel GSYH '!P10/'1.Reel GSYH '!$B10*100</f>
        <v>#DIV/0!</v>
      </c>
      <c r="O13" s="106" t="e">
        <f>'1.Reel GSYH '!Q10/'1.Reel GSYH '!$B10*100</f>
        <v>#DIV/0!</v>
      </c>
      <c r="P13" s="106" t="e">
        <f>'1.Reel GSYH '!R10/'1.Reel GSYH '!$B10*100</f>
        <v>#DIV/0!</v>
      </c>
      <c r="Q13" s="107" t="e">
        <f>'1.Reel GSYH '!S10/'1.Reel GSYH '!$B10*100</f>
        <v>#DIV/0!</v>
      </c>
      <c r="R13" s="77"/>
      <c r="S13" s="106" t="e">
        <f>'1.Reel GSYH '!U10/'1.Reel GSYH '!$B10*100</f>
        <v>#DIV/0!</v>
      </c>
      <c r="T13" s="77"/>
      <c r="U13" s="53" t="e">
        <f>'1.Reel GSYH '!W10/'1.Reel GSYH '!$B10*100</f>
        <v>#DIV/0!</v>
      </c>
      <c r="V13" s="106" t="e">
        <f>'1.Reel GSYH '!X10/'1.Reel GSYH '!$B10*100</f>
        <v>#DIV/0!</v>
      </c>
      <c r="W13" s="106" t="e">
        <f>'1.Reel GSYH '!Y10/'1.Reel GSYH '!$B10*100</f>
        <v>#DIV/0!</v>
      </c>
      <c r="X13" s="108" t="e">
        <f t="shared" si="1"/>
        <v>#DIV/0!</v>
      </c>
      <c r="Y13" s="109"/>
    </row>
    <row r="14" spans="1:156" ht="15.75" customHeight="1">
      <c r="A14" s="40" t="s">
        <v>2</v>
      </c>
      <c r="B14" s="103" t="e">
        <f t="shared" si="0"/>
        <v>#DIV/0!</v>
      </c>
      <c r="C14" s="75" t="e">
        <f>'1.Reel GSYH '!E11/'1.Reel GSYH '!$B11*100</f>
        <v>#DIV/0!</v>
      </c>
      <c r="D14" s="78" t="e">
        <f>'1.Reel GSYH '!F11/'1.Reel GSYH '!$B11*100</f>
        <v>#DIV/0!</v>
      </c>
      <c r="E14" s="78" t="e">
        <f>'1.Reel GSYH '!G11/'1.Reel GSYH '!$B11*100</f>
        <v>#DIV/0!</v>
      </c>
      <c r="F14" s="78" t="e">
        <f>'1.Reel GSYH '!H11/'1.Reel GSYH '!$B11*100</f>
        <v>#DIV/0!</v>
      </c>
      <c r="G14" s="107" t="e">
        <f>'1.Reel GSYH '!I11/'1.Reel GSYH '!$B11*100</f>
        <v>#DIV/0!</v>
      </c>
      <c r="H14" s="74"/>
      <c r="I14" s="106" t="e">
        <f>'1.Reel GSYH '!K11/'1.Reel GSYH '!$B11*100</f>
        <v>#DIV/0!</v>
      </c>
      <c r="J14" s="77"/>
      <c r="K14" s="53" t="e">
        <f>'1.Reel GSYH '!M11/'1.Reel GSYH '!$B11*100</f>
        <v>#DIV/0!</v>
      </c>
      <c r="L14" s="106" t="e">
        <f>'1.Reel GSYH '!N11/'1.Reel GSYH '!$B11*100</f>
        <v>#DIV/0!</v>
      </c>
      <c r="M14" s="106" t="e">
        <f>'1.Reel GSYH '!O11/'1.Reel GSYH '!$B11*100</f>
        <v>#DIV/0!</v>
      </c>
      <c r="N14" s="106" t="e">
        <f>'1.Reel GSYH '!P11/'1.Reel GSYH '!$B11*100</f>
        <v>#DIV/0!</v>
      </c>
      <c r="O14" s="106" t="e">
        <f>'1.Reel GSYH '!Q11/'1.Reel GSYH '!$B11*100</f>
        <v>#DIV/0!</v>
      </c>
      <c r="P14" s="106" t="e">
        <f>'1.Reel GSYH '!R11/'1.Reel GSYH '!$B11*100</f>
        <v>#DIV/0!</v>
      </c>
      <c r="Q14" s="107" t="e">
        <f>'1.Reel GSYH '!S11/'1.Reel GSYH '!$B11*100</f>
        <v>#DIV/0!</v>
      </c>
      <c r="R14" s="77"/>
      <c r="S14" s="106" t="e">
        <f>'1.Reel GSYH '!U11/'1.Reel GSYH '!$B11*100</f>
        <v>#DIV/0!</v>
      </c>
      <c r="T14" s="77"/>
      <c r="U14" s="53" t="e">
        <f>'1.Reel GSYH '!W11/'1.Reel GSYH '!$B11*100</f>
        <v>#DIV/0!</v>
      </c>
      <c r="V14" s="106" t="e">
        <f>'1.Reel GSYH '!X11/'1.Reel GSYH '!$B11*100</f>
        <v>#DIV/0!</v>
      </c>
      <c r="W14" s="106" t="e">
        <f>'1.Reel GSYH '!Y11/'1.Reel GSYH '!$B11*100</f>
        <v>#DIV/0!</v>
      </c>
      <c r="X14" s="108" t="e">
        <f t="shared" si="1"/>
        <v>#DIV/0!</v>
      </c>
      <c r="Y14" s="109"/>
    </row>
    <row r="15" spans="1:156" ht="15.75" customHeight="1">
      <c r="A15" s="40" t="s">
        <v>3</v>
      </c>
      <c r="B15" s="103" t="e">
        <f t="shared" si="0"/>
        <v>#DIV/0!</v>
      </c>
      <c r="C15" s="75" t="e">
        <f>'1.Reel GSYH '!E12/'1.Reel GSYH '!B12*100</f>
        <v>#DIV/0!</v>
      </c>
      <c r="D15" s="78" t="e">
        <f>'1.Reel GSYH '!F12/'1.Reel GSYH '!$B12*100</f>
        <v>#DIV/0!</v>
      </c>
      <c r="E15" s="78" t="e">
        <f>'1.Reel GSYH '!G12/'1.Reel GSYH '!$B12*100</f>
        <v>#DIV/0!</v>
      </c>
      <c r="F15" s="78" t="e">
        <f>'1.Reel GSYH '!H12/'1.Reel GSYH '!$B12*100</f>
        <v>#DIV/0!</v>
      </c>
      <c r="G15" s="107" t="e">
        <f>'1.Reel GSYH '!I12/'1.Reel GSYH '!$B12*100</f>
        <v>#DIV/0!</v>
      </c>
      <c r="H15" s="74"/>
      <c r="I15" s="106" t="e">
        <f>'1.Reel GSYH '!K12/'1.Reel GSYH '!$B12*100</f>
        <v>#DIV/0!</v>
      </c>
      <c r="J15" s="77"/>
      <c r="K15" s="53" t="e">
        <f>'1.Reel GSYH '!M12/'1.Reel GSYH '!$B12*100</f>
        <v>#DIV/0!</v>
      </c>
      <c r="L15" s="106" t="e">
        <f>'1.Reel GSYH '!N12/'1.Reel GSYH '!$B12*100</f>
        <v>#DIV/0!</v>
      </c>
      <c r="M15" s="106" t="e">
        <f>'1.Reel GSYH '!O12/'1.Reel GSYH '!$B12*100</f>
        <v>#DIV/0!</v>
      </c>
      <c r="N15" s="106" t="e">
        <f>'1.Reel GSYH '!P12/'1.Reel GSYH '!$B12*100</f>
        <v>#DIV/0!</v>
      </c>
      <c r="O15" s="106" t="e">
        <f>'1.Reel GSYH '!Q12/'1.Reel GSYH '!$B12*100</f>
        <v>#DIV/0!</v>
      </c>
      <c r="P15" s="106" t="e">
        <f>'1.Reel GSYH '!R12/'1.Reel GSYH '!$B12*100</f>
        <v>#DIV/0!</v>
      </c>
      <c r="Q15" s="107" t="e">
        <f>'1.Reel GSYH '!S12/'1.Reel GSYH '!$B12*100</f>
        <v>#DIV/0!</v>
      </c>
      <c r="R15" s="77"/>
      <c r="S15" s="106" t="e">
        <f>'1.Reel GSYH '!U12/'1.Reel GSYH '!$B12*100</f>
        <v>#DIV/0!</v>
      </c>
      <c r="T15" s="77"/>
      <c r="U15" s="53" t="e">
        <f>'1.Reel GSYH '!W12/'1.Reel GSYH '!$B12*100</f>
        <v>#DIV/0!</v>
      </c>
      <c r="V15" s="106" t="e">
        <f>'1.Reel GSYH '!X12/'1.Reel GSYH '!$B12*100</f>
        <v>#DIV/0!</v>
      </c>
      <c r="W15" s="106" t="e">
        <f>'1.Reel GSYH '!Y12/'1.Reel GSYH '!$B12*100</f>
        <v>#DIV/0!</v>
      </c>
      <c r="X15" s="108" t="e">
        <f t="shared" si="1"/>
        <v>#DIV/0!</v>
      </c>
      <c r="Y15" s="109"/>
    </row>
    <row r="16" spans="1:156" ht="15.75" customHeight="1">
      <c r="A16" s="40" t="s">
        <v>4</v>
      </c>
      <c r="B16" s="103" t="e">
        <f t="shared" si="0"/>
        <v>#DIV/0!</v>
      </c>
      <c r="C16" s="75" t="e">
        <f>'1.Reel GSYH '!E13/'1.Reel GSYH '!B13*100</f>
        <v>#DIV/0!</v>
      </c>
      <c r="D16" s="78" t="e">
        <f>'1.Reel GSYH '!F13/'1.Reel GSYH '!$B13*100</f>
        <v>#DIV/0!</v>
      </c>
      <c r="E16" s="78" t="e">
        <f>'1.Reel GSYH '!G13/'1.Reel GSYH '!$B13*100</f>
        <v>#DIV/0!</v>
      </c>
      <c r="F16" s="78" t="e">
        <f>'1.Reel GSYH '!H13/'1.Reel GSYH '!$B13*100</f>
        <v>#DIV/0!</v>
      </c>
      <c r="G16" s="107" t="e">
        <f>'1.Reel GSYH '!I13/'1.Reel GSYH '!$B13*100</f>
        <v>#DIV/0!</v>
      </c>
      <c r="H16" s="74"/>
      <c r="I16" s="106" t="e">
        <f>'1.Reel GSYH '!K13/'1.Reel GSYH '!$B13*100</f>
        <v>#DIV/0!</v>
      </c>
      <c r="J16" s="77"/>
      <c r="K16" s="53" t="e">
        <f>'1.Reel GSYH '!M13/'1.Reel GSYH '!$B13*100</f>
        <v>#DIV/0!</v>
      </c>
      <c r="L16" s="106" t="e">
        <f>'1.Reel GSYH '!N13/'1.Reel GSYH '!$B13*100</f>
        <v>#DIV/0!</v>
      </c>
      <c r="M16" s="106" t="e">
        <f>'1.Reel GSYH '!O13/'1.Reel GSYH '!$B13*100</f>
        <v>#DIV/0!</v>
      </c>
      <c r="N16" s="106" t="e">
        <f>'1.Reel GSYH '!P13/'1.Reel GSYH '!$B13*100</f>
        <v>#DIV/0!</v>
      </c>
      <c r="O16" s="106" t="e">
        <f>'1.Reel GSYH '!Q13/'1.Reel GSYH '!$B13*100</f>
        <v>#DIV/0!</v>
      </c>
      <c r="P16" s="106" t="e">
        <f>'1.Reel GSYH '!R13/'1.Reel GSYH '!$B13*100</f>
        <v>#DIV/0!</v>
      </c>
      <c r="Q16" s="107" t="e">
        <f>'1.Reel GSYH '!S13/'1.Reel GSYH '!$B13*100</f>
        <v>#DIV/0!</v>
      </c>
      <c r="R16" s="77"/>
      <c r="S16" s="106" t="e">
        <f>'1.Reel GSYH '!U13/'1.Reel GSYH '!$B13*100</f>
        <v>#DIV/0!</v>
      </c>
      <c r="T16" s="77"/>
      <c r="U16" s="53" t="e">
        <f>'1.Reel GSYH '!W13/'1.Reel GSYH '!$B13*100</f>
        <v>#DIV/0!</v>
      </c>
      <c r="V16" s="106" t="e">
        <f>'1.Reel GSYH '!X13/'1.Reel GSYH '!$B13*100</f>
        <v>#DIV/0!</v>
      </c>
      <c r="W16" s="106" t="e">
        <f>'1.Reel GSYH '!Y13/'1.Reel GSYH '!$B13*100</f>
        <v>#DIV/0!</v>
      </c>
      <c r="X16" s="108" t="e">
        <f t="shared" si="1"/>
        <v>#DIV/0!</v>
      </c>
      <c r="Y16" s="109"/>
    </row>
    <row r="17" spans="1:25" ht="15.75" customHeight="1">
      <c r="A17" s="40" t="s">
        <v>5</v>
      </c>
      <c r="B17" s="103" t="e">
        <f t="shared" si="0"/>
        <v>#DIV/0!</v>
      </c>
      <c r="C17" s="75" t="e">
        <f>'1.Reel GSYH '!E14/'1.Reel GSYH '!B14*100</f>
        <v>#DIV/0!</v>
      </c>
      <c r="D17" s="78" t="e">
        <f>'1.Reel GSYH '!F14/'1.Reel GSYH '!$B14*100</f>
        <v>#DIV/0!</v>
      </c>
      <c r="E17" s="78" t="e">
        <f>'1.Reel GSYH '!G14/'1.Reel GSYH '!$B14*100</f>
        <v>#DIV/0!</v>
      </c>
      <c r="F17" s="78" t="e">
        <f>'1.Reel GSYH '!H14/'1.Reel GSYH '!$B14*100</f>
        <v>#DIV/0!</v>
      </c>
      <c r="G17" s="107" t="e">
        <f>'1.Reel GSYH '!I14/'1.Reel GSYH '!$B14*100</f>
        <v>#DIV/0!</v>
      </c>
      <c r="H17" s="74"/>
      <c r="I17" s="106" t="e">
        <f>'1.Reel GSYH '!K14/'1.Reel GSYH '!$B14*100</f>
        <v>#DIV/0!</v>
      </c>
      <c r="J17" s="77"/>
      <c r="K17" s="53" t="e">
        <f>'1.Reel GSYH '!M14/'1.Reel GSYH '!$B14*100</f>
        <v>#DIV/0!</v>
      </c>
      <c r="L17" s="106" t="e">
        <f>'1.Reel GSYH '!N14/'1.Reel GSYH '!$B14*100</f>
        <v>#DIV/0!</v>
      </c>
      <c r="M17" s="106" t="e">
        <f>'1.Reel GSYH '!O14/'1.Reel GSYH '!$B14*100</f>
        <v>#DIV/0!</v>
      </c>
      <c r="N17" s="106" t="e">
        <f>'1.Reel GSYH '!P14/'1.Reel GSYH '!$B14*100</f>
        <v>#DIV/0!</v>
      </c>
      <c r="O17" s="106" t="e">
        <f>'1.Reel GSYH '!Q14/'1.Reel GSYH '!$B14*100</f>
        <v>#DIV/0!</v>
      </c>
      <c r="P17" s="106" t="e">
        <f>'1.Reel GSYH '!R14/'1.Reel GSYH '!$B14*100</f>
        <v>#DIV/0!</v>
      </c>
      <c r="Q17" s="107" t="e">
        <f>'1.Reel GSYH '!S14/'1.Reel GSYH '!$B14*100</f>
        <v>#DIV/0!</v>
      </c>
      <c r="R17" s="77"/>
      <c r="S17" s="106" t="e">
        <f>'1.Reel GSYH '!U14/'1.Reel GSYH '!$B14*100</f>
        <v>#DIV/0!</v>
      </c>
      <c r="T17" s="77"/>
      <c r="U17" s="53" t="e">
        <f>'1.Reel GSYH '!W14/'1.Reel GSYH '!$B14*100</f>
        <v>#DIV/0!</v>
      </c>
      <c r="V17" s="106" t="e">
        <f>'1.Reel GSYH '!X14/'1.Reel GSYH '!$B14*100</f>
        <v>#DIV/0!</v>
      </c>
      <c r="W17" s="106" t="e">
        <f>'1.Reel GSYH '!Y14/'1.Reel GSYH '!$B14*100</f>
        <v>#DIV/0!</v>
      </c>
      <c r="X17" s="108" t="e">
        <f t="shared" si="1"/>
        <v>#DIV/0!</v>
      </c>
      <c r="Y17" s="109"/>
    </row>
    <row r="18" spans="1:25" ht="15.75" customHeight="1">
      <c r="A18" s="40" t="s">
        <v>6</v>
      </c>
      <c r="B18" s="103" t="e">
        <f t="shared" ref="B18:B81" si="2">SUM(C18:G18)</f>
        <v>#DIV/0!</v>
      </c>
      <c r="C18" s="75" t="e">
        <f>'1.Reel GSYH '!E15/'1.Reel GSYH '!B15*100</f>
        <v>#DIV/0!</v>
      </c>
      <c r="D18" s="78" t="e">
        <f>'1.Reel GSYH '!F15/'1.Reel GSYH '!$B15*100</f>
        <v>#DIV/0!</v>
      </c>
      <c r="E18" s="78" t="e">
        <f>'1.Reel GSYH '!G15/'1.Reel GSYH '!$B15*100</f>
        <v>#DIV/0!</v>
      </c>
      <c r="F18" s="78" t="e">
        <f>'1.Reel GSYH '!H15/'1.Reel GSYH '!$B15*100</f>
        <v>#DIV/0!</v>
      </c>
      <c r="G18" s="107" t="e">
        <f>'1.Reel GSYH '!I15/'1.Reel GSYH '!$B15*100</f>
        <v>#DIV/0!</v>
      </c>
      <c r="H18" s="74"/>
      <c r="I18" s="106" t="e">
        <f>'1.Reel GSYH '!K15/'1.Reel GSYH '!$B15*100</f>
        <v>#DIV/0!</v>
      </c>
      <c r="J18" s="77"/>
      <c r="K18" s="53" t="e">
        <f>'1.Reel GSYH '!M15/'1.Reel GSYH '!$B15*100</f>
        <v>#DIV/0!</v>
      </c>
      <c r="L18" s="106" t="e">
        <f>'1.Reel GSYH '!N15/'1.Reel GSYH '!$B15*100</f>
        <v>#DIV/0!</v>
      </c>
      <c r="M18" s="106" t="e">
        <f>'1.Reel GSYH '!O15/'1.Reel GSYH '!$B15*100</f>
        <v>#DIV/0!</v>
      </c>
      <c r="N18" s="106" t="e">
        <f>'1.Reel GSYH '!P15/'1.Reel GSYH '!$B15*100</f>
        <v>#DIV/0!</v>
      </c>
      <c r="O18" s="106" t="e">
        <f>'1.Reel GSYH '!Q15/'1.Reel GSYH '!$B15*100</f>
        <v>#DIV/0!</v>
      </c>
      <c r="P18" s="106" t="e">
        <f>'1.Reel GSYH '!R15/'1.Reel GSYH '!$B15*100</f>
        <v>#DIV/0!</v>
      </c>
      <c r="Q18" s="107" t="e">
        <f>'1.Reel GSYH '!S15/'1.Reel GSYH '!$B15*100</f>
        <v>#DIV/0!</v>
      </c>
      <c r="R18" s="77"/>
      <c r="S18" s="106" t="e">
        <f>'1.Reel GSYH '!U15/'1.Reel GSYH '!$B15*100</f>
        <v>#DIV/0!</v>
      </c>
      <c r="T18" s="77"/>
      <c r="U18" s="53" t="e">
        <f>'1.Reel GSYH '!W15/'1.Reel GSYH '!$B15*100</f>
        <v>#DIV/0!</v>
      </c>
      <c r="V18" s="106" t="e">
        <f>'1.Reel GSYH '!X15/'1.Reel GSYH '!$B15*100</f>
        <v>#DIV/0!</v>
      </c>
      <c r="W18" s="106" t="e">
        <f>'1.Reel GSYH '!Y15/'1.Reel GSYH '!$B15*100</f>
        <v>#DIV/0!</v>
      </c>
      <c r="X18" s="108" t="e">
        <f t="shared" si="1"/>
        <v>#DIV/0!</v>
      </c>
      <c r="Y18" s="109"/>
    </row>
    <row r="19" spans="1:25" ht="15.75" customHeight="1">
      <c r="A19" s="40" t="s">
        <v>7</v>
      </c>
      <c r="B19" s="103" t="e">
        <f t="shared" si="2"/>
        <v>#DIV/0!</v>
      </c>
      <c r="C19" s="75" t="e">
        <f>'1.Reel GSYH '!E16/'1.Reel GSYH '!B16*100</f>
        <v>#DIV/0!</v>
      </c>
      <c r="D19" s="78" t="e">
        <f>'1.Reel GSYH '!F16/'1.Reel GSYH '!$B16*100</f>
        <v>#DIV/0!</v>
      </c>
      <c r="E19" s="78" t="e">
        <f>'1.Reel GSYH '!G16/'1.Reel GSYH '!$B16*100</f>
        <v>#DIV/0!</v>
      </c>
      <c r="F19" s="78" t="e">
        <f>'1.Reel GSYH '!H16/'1.Reel GSYH '!$B16*100</f>
        <v>#DIV/0!</v>
      </c>
      <c r="G19" s="107" t="e">
        <f>'1.Reel GSYH '!I16/'1.Reel GSYH '!$B16*100</f>
        <v>#DIV/0!</v>
      </c>
      <c r="H19" s="74"/>
      <c r="I19" s="106" t="e">
        <f>'1.Reel GSYH '!K16/'1.Reel GSYH '!$B16*100</f>
        <v>#DIV/0!</v>
      </c>
      <c r="J19" s="77"/>
      <c r="K19" s="53" t="e">
        <f>'1.Reel GSYH '!M16/'1.Reel GSYH '!$B16*100</f>
        <v>#DIV/0!</v>
      </c>
      <c r="L19" s="106" t="e">
        <f>'1.Reel GSYH '!N16/'1.Reel GSYH '!$B16*100</f>
        <v>#DIV/0!</v>
      </c>
      <c r="M19" s="106" t="e">
        <f>'1.Reel GSYH '!O16/'1.Reel GSYH '!$B16*100</f>
        <v>#DIV/0!</v>
      </c>
      <c r="N19" s="106" t="e">
        <f>'1.Reel GSYH '!P16/'1.Reel GSYH '!$B16*100</f>
        <v>#DIV/0!</v>
      </c>
      <c r="O19" s="106" t="e">
        <f>'1.Reel GSYH '!Q16/'1.Reel GSYH '!$B16*100</f>
        <v>#DIV/0!</v>
      </c>
      <c r="P19" s="106" t="e">
        <f>'1.Reel GSYH '!R16/'1.Reel GSYH '!$B16*100</f>
        <v>#DIV/0!</v>
      </c>
      <c r="Q19" s="107" t="e">
        <f>'1.Reel GSYH '!S16/'1.Reel GSYH '!$B16*100</f>
        <v>#DIV/0!</v>
      </c>
      <c r="R19" s="77"/>
      <c r="S19" s="106" t="e">
        <f>'1.Reel GSYH '!U16/'1.Reel GSYH '!$B16*100</f>
        <v>#DIV/0!</v>
      </c>
      <c r="T19" s="77"/>
      <c r="U19" s="53" t="e">
        <f>'1.Reel GSYH '!W16/'1.Reel GSYH '!$B16*100</f>
        <v>#DIV/0!</v>
      </c>
      <c r="V19" s="106" t="e">
        <f>'1.Reel GSYH '!X16/'1.Reel GSYH '!$B16*100</f>
        <v>#DIV/0!</v>
      </c>
      <c r="W19" s="106" t="e">
        <f>'1.Reel GSYH '!Y16/'1.Reel GSYH '!$B16*100</f>
        <v>#DIV/0!</v>
      </c>
      <c r="X19" s="108" t="e">
        <f t="shared" si="1"/>
        <v>#DIV/0!</v>
      </c>
      <c r="Y19" s="109"/>
    </row>
    <row r="20" spans="1:25" ht="15.75" customHeight="1">
      <c r="A20" s="40" t="s">
        <v>8</v>
      </c>
      <c r="B20" s="103" t="e">
        <f t="shared" si="2"/>
        <v>#DIV/0!</v>
      </c>
      <c r="C20" s="75" t="e">
        <f>'1.Reel GSYH '!E17/'1.Reel GSYH '!B17*100</f>
        <v>#DIV/0!</v>
      </c>
      <c r="D20" s="78" t="e">
        <f>'1.Reel GSYH '!F17/'1.Reel GSYH '!$B17*100</f>
        <v>#DIV/0!</v>
      </c>
      <c r="E20" s="78" t="e">
        <f>'1.Reel GSYH '!G17/'1.Reel GSYH '!$B17*100</f>
        <v>#DIV/0!</v>
      </c>
      <c r="F20" s="78" t="e">
        <f>'1.Reel GSYH '!H17/'1.Reel GSYH '!$B17*100</f>
        <v>#DIV/0!</v>
      </c>
      <c r="G20" s="107" t="e">
        <f>'1.Reel GSYH '!I17/'1.Reel GSYH '!$B17*100</f>
        <v>#DIV/0!</v>
      </c>
      <c r="H20" s="74"/>
      <c r="I20" s="106" t="e">
        <f>'1.Reel GSYH '!K17/'1.Reel GSYH '!$B17*100</f>
        <v>#DIV/0!</v>
      </c>
      <c r="J20" s="77"/>
      <c r="K20" s="53" t="e">
        <f>'1.Reel GSYH '!M17/'1.Reel GSYH '!$B17*100</f>
        <v>#DIV/0!</v>
      </c>
      <c r="L20" s="106" t="e">
        <f>'1.Reel GSYH '!N17/'1.Reel GSYH '!$B17*100</f>
        <v>#DIV/0!</v>
      </c>
      <c r="M20" s="106" t="e">
        <f>'1.Reel GSYH '!O17/'1.Reel GSYH '!$B17*100</f>
        <v>#DIV/0!</v>
      </c>
      <c r="N20" s="106" t="e">
        <f>'1.Reel GSYH '!P17/'1.Reel GSYH '!$B17*100</f>
        <v>#DIV/0!</v>
      </c>
      <c r="O20" s="106" t="e">
        <f>'1.Reel GSYH '!Q17/'1.Reel GSYH '!$B17*100</f>
        <v>#DIV/0!</v>
      </c>
      <c r="P20" s="106" t="e">
        <f>'1.Reel GSYH '!R17/'1.Reel GSYH '!$B17*100</f>
        <v>#DIV/0!</v>
      </c>
      <c r="Q20" s="107" t="e">
        <f>'1.Reel GSYH '!S17/'1.Reel GSYH '!$B17*100</f>
        <v>#DIV/0!</v>
      </c>
      <c r="R20" s="77"/>
      <c r="S20" s="106" t="e">
        <f>'1.Reel GSYH '!U17/'1.Reel GSYH '!$B17*100</f>
        <v>#DIV/0!</v>
      </c>
      <c r="T20" s="77"/>
      <c r="U20" s="53" t="e">
        <f>'1.Reel GSYH '!W17/'1.Reel GSYH '!$B17*100</f>
        <v>#DIV/0!</v>
      </c>
      <c r="V20" s="106" t="e">
        <f>'1.Reel GSYH '!X17/'1.Reel GSYH '!$B17*100</f>
        <v>#DIV/0!</v>
      </c>
      <c r="W20" s="106" t="e">
        <f>'1.Reel GSYH '!Y17/'1.Reel GSYH '!$B17*100</f>
        <v>#DIV/0!</v>
      </c>
      <c r="X20" s="108" t="e">
        <f t="shared" si="1"/>
        <v>#DIV/0!</v>
      </c>
      <c r="Y20" s="109"/>
    </row>
    <row r="21" spans="1:25" ht="15.75" customHeight="1">
      <c r="A21" s="40" t="s">
        <v>9</v>
      </c>
      <c r="B21" s="103" t="e">
        <f t="shared" si="2"/>
        <v>#DIV/0!</v>
      </c>
      <c r="C21" s="75" t="e">
        <f>'1.Reel GSYH '!E18/'1.Reel GSYH '!B18*100</f>
        <v>#DIV/0!</v>
      </c>
      <c r="D21" s="78" t="e">
        <f>'1.Reel GSYH '!F18/'1.Reel GSYH '!$B18*100</f>
        <v>#DIV/0!</v>
      </c>
      <c r="E21" s="78" t="e">
        <f>'1.Reel GSYH '!G18/'1.Reel GSYH '!$B18*100</f>
        <v>#DIV/0!</v>
      </c>
      <c r="F21" s="78" t="e">
        <f>'1.Reel GSYH '!H18/'1.Reel GSYH '!$B18*100</f>
        <v>#DIV/0!</v>
      </c>
      <c r="G21" s="107" t="e">
        <f>'1.Reel GSYH '!I18/'1.Reel GSYH '!$B18*100</f>
        <v>#DIV/0!</v>
      </c>
      <c r="H21" s="74"/>
      <c r="I21" s="106" t="e">
        <f>'1.Reel GSYH '!K18/'1.Reel GSYH '!$B18*100</f>
        <v>#DIV/0!</v>
      </c>
      <c r="J21" s="77"/>
      <c r="K21" s="53" t="e">
        <f>'1.Reel GSYH '!M18/'1.Reel GSYH '!$B18*100</f>
        <v>#DIV/0!</v>
      </c>
      <c r="L21" s="106" t="e">
        <f>'1.Reel GSYH '!N18/'1.Reel GSYH '!$B18*100</f>
        <v>#DIV/0!</v>
      </c>
      <c r="M21" s="106" t="e">
        <f>'1.Reel GSYH '!O18/'1.Reel GSYH '!$B18*100</f>
        <v>#DIV/0!</v>
      </c>
      <c r="N21" s="106" t="e">
        <f>'1.Reel GSYH '!P18/'1.Reel GSYH '!$B18*100</f>
        <v>#DIV/0!</v>
      </c>
      <c r="O21" s="106" t="e">
        <f>'1.Reel GSYH '!Q18/'1.Reel GSYH '!$B18*100</f>
        <v>#DIV/0!</v>
      </c>
      <c r="P21" s="106" t="e">
        <f>'1.Reel GSYH '!R18/'1.Reel GSYH '!$B18*100</f>
        <v>#DIV/0!</v>
      </c>
      <c r="Q21" s="107" t="e">
        <f>'1.Reel GSYH '!S18/'1.Reel GSYH '!$B18*100</f>
        <v>#DIV/0!</v>
      </c>
      <c r="R21" s="77"/>
      <c r="S21" s="106" t="e">
        <f>'1.Reel GSYH '!U18/'1.Reel GSYH '!$B18*100</f>
        <v>#DIV/0!</v>
      </c>
      <c r="T21" s="77"/>
      <c r="U21" s="53" t="e">
        <f>'1.Reel GSYH '!W18/'1.Reel GSYH '!$B18*100</f>
        <v>#DIV/0!</v>
      </c>
      <c r="V21" s="106" t="e">
        <f>'1.Reel GSYH '!X18/'1.Reel GSYH '!$B18*100</f>
        <v>#DIV/0!</v>
      </c>
      <c r="W21" s="106" t="e">
        <f>'1.Reel GSYH '!Y18/'1.Reel GSYH '!$B18*100</f>
        <v>#DIV/0!</v>
      </c>
      <c r="X21" s="108" t="e">
        <f t="shared" si="1"/>
        <v>#DIV/0!</v>
      </c>
      <c r="Y21" s="109"/>
    </row>
    <row r="22" spans="1:25" ht="15.75" customHeight="1">
      <c r="A22" s="40" t="s">
        <v>10</v>
      </c>
      <c r="B22" s="103" t="e">
        <f t="shared" si="2"/>
        <v>#DIV/0!</v>
      </c>
      <c r="C22" s="75" t="e">
        <f>'1.Reel GSYH '!E19/'1.Reel GSYH '!B19*100</f>
        <v>#DIV/0!</v>
      </c>
      <c r="D22" s="78" t="e">
        <f>'1.Reel GSYH '!F19/'1.Reel GSYH '!$B19*100</f>
        <v>#DIV/0!</v>
      </c>
      <c r="E22" s="78" t="e">
        <f>'1.Reel GSYH '!G19/'1.Reel GSYH '!$B19*100</f>
        <v>#DIV/0!</v>
      </c>
      <c r="F22" s="78" t="e">
        <f>'1.Reel GSYH '!H19/'1.Reel GSYH '!$B19*100</f>
        <v>#DIV/0!</v>
      </c>
      <c r="G22" s="107" t="e">
        <f>'1.Reel GSYH '!I19/'1.Reel GSYH '!$B19*100</f>
        <v>#DIV/0!</v>
      </c>
      <c r="H22" s="74"/>
      <c r="I22" s="106" t="e">
        <f>'1.Reel GSYH '!K19/'1.Reel GSYH '!$B19*100</f>
        <v>#DIV/0!</v>
      </c>
      <c r="J22" s="77"/>
      <c r="K22" s="53" t="e">
        <f>'1.Reel GSYH '!M19/'1.Reel GSYH '!$B19*100</f>
        <v>#DIV/0!</v>
      </c>
      <c r="L22" s="106" t="e">
        <f>'1.Reel GSYH '!N19/'1.Reel GSYH '!$B19*100</f>
        <v>#DIV/0!</v>
      </c>
      <c r="M22" s="106" t="e">
        <f>'1.Reel GSYH '!O19/'1.Reel GSYH '!$B19*100</f>
        <v>#DIV/0!</v>
      </c>
      <c r="N22" s="106" t="e">
        <f>'1.Reel GSYH '!P19/'1.Reel GSYH '!$B19*100</f>
        <v>#DIV/0!</v>
      </c>
      <c r="O22" s="106" t="e">
        <f>'1.Reel GSYH '!Q19/'1.Reel GSYH '!$B19*100</f>
        <v>#DIV/0!</v>
      </c>
      <c r="P22" s="106" t="e">
        <f>'1.Reel GSYH '!R19/'1.Reel GSYH '!$B19*100</f>
        <v>#DIV/0!</v>
      </c>
      <c r="Q22" s="107" t="e">
        <f>'1.Reel GSYH '!S19/'1.Reel GSYH '!$B19*100</f>
        <v>#DIV/0!</v>
      </c>
      <c r="R22" s="77"/>
      <c r="S22" s="106" t="e">
        <f>'1.Reel GSYH '!U19/'1.Reel GSYH '!$B19*100</f>
        <v>#DIV/0!</v>
      </c>
      <c r="T22" s="77"/>
      <c r="U22" s="53" t="e">
        <f>'1.Reel GSYH '!W19/'1.Reel GSYH '!$B19*100</f>
        <v>#DIV/0!</v>
      </c>
      <c r="V22" s="106" t="e">
        <f>'1.Reel GSYH '!X19/'1.Reel GSYH '!$B19*100</f>
        <v>#DIV/0!</v>
      </c>
      <c r="W22" s="106" t="e">
        <f>'1.Reel GSYH '!Y19/'1.Reel GSYH '!$B19*100</f>
        <v>#DIV/0!</v>
      </c>
      <c r="X22" s="108" t="e">
        <f t="shared" si="1"/>
        <v>#DIV/0!</v>
      </c>
      <c r="Y22" s="109"/>
    </row>
    <row r="23" spans="1:25" ht="15.75" customHeight="1">
      <c r="A23" s="40" t="s">
        <v>11</v>
      </c>
      <c r="B23" s="103" t="e">
        <f t="shared" si="2"/>
        <v>#DIV/0!</v>
      </c>
      <c r="C23" s="75" t="e">
        <f>'1.Reel GSYH '!E20/'1.Reel GSYH '!B20*100</f>
        <v>#DIV/0!</v>
      </c>
      <c r="D23" s="78" t="e">
        <f>'1.Reel GSYH '!F20/'1.Reel GSYH '!$B20*100</f>
        <v>#DIV/0!</v>
      </c>
      <c r="E23" s="78" t="e">
        <f>'1.Reel GSYH '!G20/'1.Reel GSYH '!$B20*100</f>
        <v>#DIV/0!</v>
      </c>
      <c r="F23" s="78" t="e">
        <f>'1.Reel GSYH '!H20/'1.Reel GSYH '!$B20*100</f>
        <v>#DIV/0!</v>
      </c>
      <c r="G23" s="107" t="e">
        <f>'1.Reel GSYH '!I20/'1.Reel GSYH '!$B20*100</f>
        <v>#DIV/0!</v>
      </c>
      <c r="H23" s="74"/>
      <c r="I23" s="106" t="e">
        <f>'1.Reel GSYH '!K20/'1.Reel GSYH '!$B20*100</f>
        <v>#DIV/0!</v>
      </c>
      <c r="J23" s="77"/>
      <c r="K23" s="53" t="e">
        <f>'1.Reel GSYH '!M20/'1.Reel GSYH '!$B20*100</f>
        <v>#DIV/0!</v>
      </c>
      <c r="L23" s="106" t="e">
        <f>'1.Reel GSYH '!N20/'1.Reel GSYH '!$B20*100</f>
        <v>#DIV/0!</v>
      </c>
      <c r="M23" s="106" t="e">
        <f>'1.Reel GSYH '!O20/'1.Reel GSYH '!$B20*100</f>
        <v>#DIV/0!</v>
      </c>
      <c r="N23" s="106" t="e">
        <f>'1.Reel GSYH '!P20/'1.Reel GSYH '!$B20*100</f>
        <v>#DIV/0!</v>
      </c>
      <c r="O23" s="106" t="e">
        <f>'1.Reel GSYH '!Q20/'1.Reel GSYH '!$B20*100</f>
        <v>#DIV/0!</v>
      </c>
      <c r="P23" s="106" t="e">
        <f>'1.Reel GSYH '!R20/'1.Reel GSYH '!$B20*100</f>
        <v>#DIV/0!</v>
      </c>
      <c r="Q23" s="107" t="e">
        <f>'1.Reel GSYH '!S20/'1.Reel GSYH '!$B20*100</f>
        <v>#DIV/0!</v>
      </c>
      <c r="R23" s="77"/>
      <c r="S23" s="106" t="e">
        <f>'1.Reel GSYH '!U20/'1.Reel GSYH '!$B20*100</f>
        <v>#DIV/0!</v>
      </c>
      <c r="T23" s="77"/>
      <c r="U23" s="53" t="e">
        <f>'1.Reel GSYH '!W20/'1.Reel GSYH '!$B20*100</f>
        <v>#DIV/0!</v>
      </c>
      <c r="V23" s="106" t="e">
        <f>'1.Reel GSYH '!X20/'1.Reel GSYH '!$B20*100</f>
        <v>#DIV/0!</v>
      </c>
      <c r="W23" s="106" t="e">
        <f>'1.Reel GSYH '!Y20/'1.Reel GSYH '!$B20*100</f>
        <v>#DIV/0!</v>
      </c>
      <c r="X23" s="108" t="e">
        <f t="shared" si="1"/>
        <v>#DIV/0!</v>
      </c>
      <c r="Y23" s="109"/>
    </row>
    <row r="24" spans="1:25" ht="15.75" customHeight="1">
      <c r="A24" s="40" t="s">
        <v>12</v>
      </c>
      <c r="B24" s="103" t="e">
        <f t="shared" si="2"/>
        <v>#DIV/0!</v>
      </c>
      <c r="C24" s="75" t="e">
        <f>'1.Reel GSYH '!E21/'1.Reel GSYH '!B21*100</f>
        <v>#DIV/0!</v>
      </c>
      <c r="D24" s="78" t="e">
        <f>'1.Reel GSYH '!F21/'1.Reel GSYH '!$B21*100</f>
        <v>#DIV/0!</v>
      </c>
      <c r="E24" s="78" t="e">
        <f>'1.Reel GSYH '!G21/'1.Reel GSYH '!$B21*100</f>
        <v>#DIV/0!</v>
      </c>
      <c r="F24" s="78" t="e">
        <f>'1.Reel GSYH '!H21/'1.Reel GSYH '!$B21*100</f>
        <v>#DIV/0!</v>
      </c>
      <c r="G24" s="107" t="e">
        <f>'1.Reel GSYH '!I21/'1.Reel GSYH '!$B21*100</f>
        <v>#DIV/0!</v>
      </c>
      <c r="H24" s="74"/>
      <c r="I24" s="106" t="e">
        <f>'1.Reel GSYH '!K21/'1.Reel GSYH '!$B21*100</f>
        <v>#DIV/0!</v>
      </c>
      <c r="J24" s="77"/>
      <c r="K24" s="53" t="e">
        <f>'1.Reel GSYH '!M21/'1.Reel GSYH '!$B21*100</f>
        <v>#DIV/0!</v>
      </c>
      <c r="L24" s="106" t="e">
        <f>'1.Reel GSYH '!N21/'1.Reel GSYH '!$B21*100</f>
        <v>#DIV/0!</v>
      </c>
      <c r="M24" s="106" t="e">
        <f>'1.Reel GSYH '!O21/'1.Reel GSYH '!$B21*100</f>
        <v>#DIV/0!</v>
      </c>
      <c r="N24" s="106" t="e">
        <f>'1.Reel GSYH '!P21/'1.Reel GSYH '!$B21*100</f>
        <v>#DIV/0!</v>
      </c>
      <c r="O24" s="106" t="e">
        <f>'1.Reel GSYH '!Q21/'1.Reel GSYH '!$B21*100</f>
        <v>#DIV/0!</v>
      </c>
      <c r="P24" s="106" t="e">
        <f>'1.Reel GSYH '!R21/'1.Reel GSYH '!$B21*100</f>
        <v>#DIV/0!</v>
      </c>
      <c r="Q24" s="107" t="e">
        <f>'1.Reel GSYH '!S21/'1.Reel GSYH '!$B21*100</f>
        <v>#DIV/0!</v>
      </c>
      <c r="R24" s="77"/>
      <c r="S24" s="106" t="e">
        <f>'1.Reel GSYH '!U21/'1.Reel GSYH '!$B21*100</f>
        <v>#DIV/0!</v>
      </c>
      <c r="T24" s="77"/>
      <c r="U24" s="53" t="e">
        <f>'1.Reel GSYH '!W21/'1.Reel GSYH '!$B21*100</f>
        <v>#DIV/0!</v>
      </c>
      <c r="V24" s="106" t="e">
        <f>'1.Reel GSYH '!X21/'1.Reel GSYH '!$B21*100</f>
        <v>#DIV/0!</v>
      </c>
      <c r="W24" s="106" t="e">
        <f>'1.Reel GSYH '!Y21/'1.Reel GSYH '!$B21*100</f>
        <v>#DIV/0!</v>
      </c>
      <c r="X24" s="108" t="e">
        <f t="shared" si="1"/>
        <v>#DIV/0!</v>
      </c>
      <c r="Y24" s="109"/>
    </row>
    <row r="25" spans="1:25" ht="15.75" customHeight="1">
      <c r="A25" s="40" t="s">
        <v>13</v>
      </c>
      <c r="B25" s="103" t="e">
        <f t="shared" si="2"/>
        <v>#DIV/0!</v>
      </c>
      <c r="C25" s="75" t="e">
        <f>'1.Reel GSYH '!E22/'1.Reel GSYH '!B22*100</f>
        <v>#DIV/0!</v>
      </c>
      <c r="D25" s="78" t="e">
        <f>'1.Reel GSYH '!F22/'1.Reel GSYH '!$B22*100</f>
        <v>#DIV/0!</v>
      </c>
      <c r="E25" s="78" t="e">
        <f>'1.Reel GSYH '!G22/'1.Reel GSYH '!$B22*100</f>
        <v>#DIV/0!</v>
      </c>
      <c r="F25" s="78" t="e">
        <f>'1.Reel GSYH '!H22/'1.Reel GSYH '!$B22*100</f>
        <v>#DIV/0!</v>
      </c>
      <c r="G25" s="107" t="e">
        <f>'1.Reel GSYH '!I22/'1.Reel GSYH '!$B22*100</f>
        <v>#DIV/0!</v>
      </c>
      <c r="H25" s="74"/>
      <c r="I25" s="106" t="e">
        <f>'1.Reel GSYH '!K22/'1.Reel GSYH '!$B22*100</f>
        <v>#DIV/0!</v>
      </c>
      <c r="J25" s="77"/>
      <c r="K25" s="53" t="e">
        <f>'1.Reel GSYH '!M22/'1.Reel GSYH '!$B22*100</f>
        <v>#DIV/0!</v>
      </c>
      <c r="L25" s="106" t="e">
        <f>'1.Reel GSYH '!N22/'1.Reel GSYH '!$B22*100</f>
        <v>#DIV/0!</v>
      </c>
      <c r="M25" s="106" t="e">
        <f>'1.Reel GSYH '!O22/'1.Reel GSYH '!$B22*100</f>
        <v>#DIV/0!</v>
      </c>
      <c r="N25" s="106" t="e">
        <f>'1.Reel GSYH '!P22/'1.Reel GSYH '!$B22*100</f>
        <v>#DIV/0!</v>
      </c>
      <c r="O25" s="106" t="e">
        <f>'1.Reel GSYH '!Q22/'1.Reel GSYH '!$B22*100</f>
        <v>#DIV/0!</v>
      </c>
      <c r="P25" s="106" t="e">
        <f>'1.Reel GSYH '!R22/'1.Reel GSYH '!$B22*100</f>
        <v>#DIV/0!</v>
      </c>
      <c r="Q25" s="107" t="e">
        <f>'1.Reel GSYH '!S22/'1.Reel GSYH '!$B22*100</f>
        <v>#DIV/0!</v>
      </c>
      <c r="R25" s="77"/>
      <c r="S25" s="106" t="e">
        <f>'1.Reel GSYH '!U22/'1.Reel GSYH '!$B22*100</f>
        <v>#DIV/0!</v>
      </c>
      <c r="T25" s="77"/>
      <c r="U25" s="53" t="e">
        <f>'1.Reel GSYH '!W22/'1.Reel GSYH '!$B22*100</f>
        <v>#DIV/0!</v>
      </c>
      <c r="V25" s="106" t="e">
        <f>'1.Reel GSYH '!X22/'1.Reel GSYH '!$B22*100</f>
        <v>#DIV/0!</v>
      </c>
      <c r="W25" s="106" t="e">
        <f>'1.Reel GSYH '!Y22/'1.Reel GSYH '!$B22*100</f>
        <v>#DIV/0!</v>
      </c>
      <c r="X25" s="108" t="e">
        <f>(U25+V25)</f>
        <v>#DIV/0!</v>
      </c>
      <c r="Y25" s="109"/>
    </row>
    <row r="26" spans="1:25" ht="15.75" customHeight="1">
      <c r="A26" s="40" t="s">
        <v>14</v>
      </c>
      <c r="B26" s="103" t="e">
        <f t="shared" si="2"/>
        <v>#DIV/0!</v>
      </c>
      <c r="C26" s="75" t="e">
        <f>'1.Reel GSYH '!E23/'1.Reel GSYH '!B23*100</f>
        <v>#DIV/0!</v>
      </c>
      <c r="D26" s="78" t="e">
        <f>'1.Reel GSYH '!F23/'1.Reel GSYH '!$B23*100</f>
        <v>#DIV/0!</v>
      </c>
      <c r="E26" s="78" t="e">
        <f>'1.Reel GSYH '!G23/'1.Reel GSYH '!$B23*100</f>
        <v>#DIV/0!</v>
      </c>
      <c r="F26" s="78" t="e">
        <f>'1.Reel GSYH '!H23/'1.Reel GSYH '!$B23*100</f>
        <v>#DIV/0!</v>
      </c>
      <c r="G26" s="107" t="e">
        <f>'1.Reel GSYH '!I23/'1.Reel GSYH '!$B23*100</f>
        <v>#DIV/0!</v>
      </c>
      <c r="H26" s="74"/>
      <c r="I26" s="106" t="e">
        <f>'1.Reel GSYH '!K23/'1.Reel GSYH '!$B23*100</f>
        <v>#DIV/0!</v>
      </c>
      <c r="J26" s="77"/>
      <c r="K26" s="53" t="e">
        <f>'1.Reel GSYH '!M23/'1.Reel GSYH '!$B23*100</f>
        <v>#DIV/0!</v>
      </c>
      <c r="L26" s="106" t="e">
        <f>'1.Reel GSYH '!N23/'1.Reel GSYH '!$B23*100</f>
        <v>#DIV/0!</v>
      </c>
      <c r="M26" s="106" t="e">
        <f>'1.Reel GSYH '!O23/'1.Reel GSYH '!$B23*100</f>
        <v>#DIV/0!</v>
      </c>
      <c r="N26" s="106" t="e">
        <f>'1.Reel GSYH '!P23/'1.Reel GSYH '!$B23*100</f>
        <v>#DIV/0!</v>
      </c>
      <c r="O26" s="106" t="e">
        <f>'1.Reel GSYH '!Q23/'1.Reel GSYH '!$B23*100</f>
        <v>#DIV/0!</v>
      </c>
      <c r="P26" s="106" t="e">
        <f>'1.Reel GSYH '!R23/'1.Reel GSYH '!$B23*100</f>
        <v>#DIV/0!</v>
      </c>
      <c r="Q26" s="107" t="e">
        <f>'1.Reel GSYH '!S23/'1.Reel GSYH '!$B23*100</f>
        <v>#DIV/0!</v>
      </c>
      <c r="R26" s="77"/>
      <c r="S26" s="106" t="e">
        <f>'1.Reel GSYH '!U23/'1.Reel GSYH '!$B23*100</f>
        <v>#DIV/0!</v>
      </c>
      <c r="T26" s="77"/>
      <c r="U26" s="53" t="e">
        <f>'1.Reel GSYH '!W23/'1.Reel GSYH '!$B23*100</f>
        <v>#DIV/0!</v>
      </c>
      <c r="V26" s="106" t="e">
        <f>'1.Reel GSYH '!X23/'1.Reel GSYH '!$B23*100</f>
        <v>#DIV/0!</v>
      </c>
      <c r="W26" s="106" t="e">
        <f>'1.Reel GSYH '!Y23/'1.Reel GSYH '!$B23*100</f>
        <v>#DIV/0!</v>
      </c>
      <c r="X26" s="108" t="e">
        <f>(U26+V26)</f>
        <v>#DIV/0!</v>
      </c>
      <c r="Y26" s="109"/>
    </row>
    <row r="27" spans="1:25" ht="15.75" customHeight="1">
      <c r="A27" s="40" t="s">
        <v>15</v>
      </c>
      <c r="B27" s="103" t="e">
        <f t="shared" si="2"/>
        <v>#DIV/0!</v>
      </c>
      <c r="C27" s="75" t="e">
        <f>'1.Reel GSYH '!E24/'1.Reel GSYH '!B24*100</f>
        <v>#DIV/0!</v>
      </c>
      <c r="D27" s="78" t="e">
        <f>'1.Reel GSYH '!F24/'1.Reel GSYH '!$B24*100</f>
        <v>#DIV/0!</v>
      </c>
      <c r="E27" s="78" t="e">
        <f>'1.Reel GSYH '!G24/'1.Reel GSYH '!$B24*100</f>
        <v>#DIV/0!</v>
      </c>
      <c r="F27" s="78" t="e">
        <f>'1.Reel GSYH '!H24/'1.Reel GSYH '!$B24*100</f>
        <v>#DIV/0!</v>
      </c>
      <c r="G27" s="107" t="e">
        <f>'1.Reel GSYH '!I24/'1.Reel GSYH '!$B24*100</f>
        <v>#DIV/0!</v>
      </c>
      <c r="H27" s="74"/>
      <c r="I27" s="106" t="e">
        <f>'1.Reel GSYH '!K24/'1.Reel GSYH '!$B24*100</f>
        <v>#DIV/0!</v>
      </c>
      <c r="J27" s="77"/>
      <c r="K27" s="53" t="e">
        <f>'1.Reel GSYH '!M24/'1.Reel GSYH '!$B24*100</f>
        <v>#DIV/0!</v>
      </c>
      <c r="L27" s="106" t="e">
        <f>'1.Reel GSYH '!N24/'1.Reel GSYH '!$B24*100</f>
        <v>#DIV/0!</v>
      </c>
      <c r="M27" s="106" t="e">
        <f>'1.Reel GSYH '!O24/'1.Reel GSYH '!$B24*100</f>
        <v>#DIV/0!</v>
      </c>
      <c r="N27" s="106" t="e">
        <f>'1.Reel GSYH '!P24/'1.Reel GSYH '!$B24*100</f>
        <v>#DIV/0!</v>
      </c>
      <c r="O27" s="106" t="e">
        <f>'1.Reel GSYH '!Q24/'1.Reel GSYH '!$B24*100</f>
        <v>#DIV/0!</v>
      </c>
      <c r="P27" s="106" t="e">
        <f>'1.Reel GSYH '!R24/'1.Reel GSYH '!$B24*100</f>
        <v>#DIV/0!</v>
      </c>
      <c r="Q27" s="107" t="e">
        <f>'1.Reel GSYH '!S24/'1.Reel GSYH '!$B24*100</f>
        <v>#DIV/0!</v>
      </c>
      <c r="R27" s="77"/>
      <c r="S27" s="106" t="e">
        <f>'1.Reel GSYH '!U24/'1.Reel GSYH '!$B24*100</f>
        <v>#DIV/0!</v>
      </c>
      <c r="T27" s="77"/>
      <c r="U27" s="53" t="e">
        <f>'1.Reel GSYH '!W24/'1.Reel GSYH '!$B24*100</f>
        <v>#DIV/0!</v>
      </c>
      <c r="V27" s="106" t="e">
        <f>'1.Reel GSYH '!X24/'1.Reel GSYH '!$B24*100</f>
        <v>#DIV/0!</v>
      </c>
      <c r="W27" s="106" t="e">
        <f>'1.Reel GSYH '!Y24/'1.Reel GSYH '!$B24*100</f>
        <v>#DIV/0!</v>
      </c>
      <c r="X27" s="108" t="e">
        <f>(U27+V27)</f>
        <v>#DIV/0!</v>
      </c>
      <c r="Y27" s="109"/>
    </row>
    <row r="28" spans="1:25" ht="15.75" customHeight="1">
      <c r="A28" s="40" t="s">
        <v>16</v>
      </c>
      <c r="B28" s="103" t="e">
        <f t="shared" si="2"/>
        <v>#DIV/0!</v>
      </c>
      <c r="C28" s="75" t="e">
        <f>'1.Reel GSYH '!E25/'1.Reel GSYH '!B25*100</f>
        <v>#DIV/0!</v>
      </c>
      <c r="D28" s="78" t="e">
        <f>'1.Reel GSYH '!F25/'1.Reel GSYH '!$B25*100</f>
        <v>#DIV/0!</v>
      </c>
      <c r="E28" s="78" t="e">
        <f>'1.Reel GSYH '!G25/'1.Reel GSYH '!$B25*100</f>
        <v>#DIV/0!</v>
      </c>
      <c r="F28" s="78" t="e">
        <f>'1.Reel GSYH '!H25/'1.Reel GSYH '!$B25*100</f>
        <v>#DIV/0!</v>
      </c>
      <c r="G28" s="107" t="e">
        <f>'1.Reel GSYH '!I25/'1.Reel GSYH '!$B25*100</f>
        <v>#DIV/0!</v>
      </c>
      <c r="H28" s="74"/>
      <c r="I28" s="106" t="e">
        <f>'1.Reel GSYH '!K25/'1.Reel GSYH '!$B25*100</f>
        <v>#DIV/0!</v>
      </c>
      <c r="J28" s="77"/>
      <c r="K28" s="53" t="e">
        <f>'1.Reel GSYH '!M25/'1.Reel GSYH '!$B25*100</f>
        <v>#DIV/0!</v>
      </c>
      <c r="L28" s="106" t="e">
        <f>'1.Reel GSYH '!N25/'1.Reel GSYH '!$B25*100</f>
        <v>#DIV/0!</v>
      </c>
      <c r="M28" s="106" t="e">
        <f>'1.Reel GSYH '!O25/'1.Reel GSYH '!$B25*100</f>
        <v>#DIV/0!</v>
      </c>
      <c r="N28" s="106" t="e">
        <f>'1.Reel GSYH '!P25/'1.Reel GSYH '!$B25*100</f>
        <v>#DIV/0!</v>
      </c>
      <c r="O28" s="106" t="e">
        <f>'1.Reel GSYH '!Q25/'1.Reel GSYH '!$B25*100</f>
        <v>#DIV/0!</v>
      </c>
      <c r="P28" s="106" t="e">
        <f>'1.Reel GSYH '!R25/'1.Reel GSYH '!$B25*100</f>
        <v>#DIV/0!</v>
      </c>
      <c r="Q28" s="107" t="e">
        <f>'1.Reel GSYH '!S25/'1.Reel GSYH '!$B25*100</f>
        <v>#DIV/0!</v>
      </c>
      <c r="R28" s="77"/>
      <c r="S28" s="106" t="e">
        <f>'1.Reel GSYH '!U25/'1.Reel GSYH '!$B25*100</f>
        <v>#DIV/0!</v>
      </c>
      <c r="T28" s="77"/>
      <c r="U28" s="53" t="e">
        <f>'1.Reel GSYH '!W25/'1.Reel GSYH '!$B25*100</f>
        <v>#DIV/0!</v>
      </c>
      <c r="V28" s="106" t="e">
        <f>'1.Reel GSYH '!X25/'1.Reel GSYH '!$B25*100</f>
        <v>#DIV/0!</v>
      </c>
      <c r="W28" s="106" t="e">
        <f>'1.Reel GSYH '!Y25/'1.Reel GSYH '!$B25*100</f>
        <v>#DIV/0!</v>
      </c>
      <c r="X28" s="108" t="e">
        <f>(U28+V28)</f>
        <v>#DIV/0!</v>
      </c>
      <c r="Y28" s="109"/>
    </row>
    <row r="29" spans="1:25" ht="15.75" customHeight="1">
      <c r="A29" s="40" t="s">
        <v>17</v>
      </c>
      <c r="B29" s="103" t="e">
        <f t="shared" si="2"/>
        <v>#DIV/0!</v>
      </c>
      <c r="C29" s="75" t="e">
        <f>'1.Reel GSYH '!E26/'1.Reel GSYH '!B26*100</f>
        <v>#DIV/0!</v>
      </c>
      <c r="D29" s="78" t="e">
        <f>'1.Reel GSYH '!F26/'1.Reel GSYH '!$B26*100</f>
        <v>#DIV/0!</v>
      </c>
      <c r="E29" s="78" t="e">
        <f>'1.Reel GSYH '!G26/'1.Reel GSYH '!$B26*100</f>
        <v>#DIV/0!</v>
      </c>
      <c r="F29" s="78" t="e">
        <f>'1.Reel GSYH '!H26/'1.Reel GSYH '!$B26*100</f>
        <v>#DIV/0!</v>
      </c>
      <c r="G29" s="107" t="e">
        <f>'1.Reel GSYH '!I26/'1.Reel GSYH '!$B26*100</f>
        <v>#DIV/0!</v>
      </c>
      <c r="H29" s="74"/>
      <c r="I29" s="106" t="e">
        <f>'1.Reel GSYH '!K26/'1.Reel GSYH '!$B26*100</f>
        <v>#DIV/0!</v>
      </c>
      <c r="J29" s="77"/>
      <c r="K29" s="53" t="e">
        <f>'1.Reel GSYH '!M26/'1.Reel GSYH '!$B26*100</f>
        <v>#DIV/0!</v>
      </c>
      <c r="L29" s="106" t="e">
        <f>'1.Reel GSYH '!N26/'1.Reel GSYH '!$B26*100</f>
        <v>#DIV/0!</v>
      </c>
      <c r="M29" s="106" t="e">
        <f>'1.Reel GSYH '!O26/'1.Reel GSYH '!$B26*100</f>
        <v>#DIV/0!</v>
      </c>
      <c r="N29" s="106" t="e">
        <f>'1.Reel GSYH '!P26/'1.Reel GSYH '!$B26*100</f>
        <v>#DIV/0!</v>
      </c>
      <c r="O29" s="106" t="e">
        <f>'1.Reel GSYH '!Q26/'1.Reel GSYH '!$B26*100</f>
        <v>#DIV/0!</v>
      </c>
      <c r="P29" s="106" t="e">
        <f>'1.Reel GSYH '!R26/'1.Reel GSYH '!$B26*100</f>
        <v>#DIV/0!</v>
      </c>
      <c r="Q29" s="107" t="e">
        <f>'1.Reel GSYH '!S26/'1.Reel GSYH '!$B26*100</f>
        <v>#DIV/0!</v>
      </c>
      <c r="R29" s="77"/>
      <c r="S29" s="106" t="e">
        <f>'1.Reel GSYH '!U26/'1.Reel GSYH '!$B26*100</f>
        <v>#DIV/0!</v>
      </c>
      <c r="T29" s="77"/>
      <c r="U29" s="53" t="e">
        <f>'1.Reel GSYH '!W26/'1.Reel GSYH '!$B26*100</f>
        <v>#DIV/0!</v>
      </c>
      <c r="V29" s="106" t="e">
        <f>'1.Reel GSYH '!X26/'1.Reel GSYH '!$B26*100</f>
        <v>#DIV/0!</v>
      </c>
      <c r="W29" s="106" t="e">
        <f>'1.Reel GSYH '!Y26/'1.Reel GSYH '!$B26*100</f>
        <v>#DIV/0!</v>
      </c>
      <c r="X29" s="108" t="e">
        <f t="shared" ref="X29:X92" si="3">(U29+V29)</f>
        <v>#DIV/0!</v>
      </c>
      <c r="Y29" s="109"/>
    </row>
    <row r="30" spans="1:25" ht="15.75" customHeight="1">
      <c r="A30" s="40" t="s">
        <v>18</v>
      </c>
      <c r="B30" s="103" t="e">
        <f t="shared" si="2"/>
        <v>#DIV/0!</v>
      </c>
      <c r="C30" s="75" t="e">
        <f>'1.Reel GSYH '!E27/'1.Reel GSYH '!B27*100</f>
        <v>#DIV/0!</v>
      </c>
      <c r="D30" s="78" t="e">
        <f>'1.Reel GSYH '!F27/'1.Reel GSYH '!$B27*100</f>
        <v>#DIV/0!</v>
      </c>
      <c r="E30" s="78" t="e">
        <f>'1.Reel GSYH '!G27/'1.Reel GSYH '!$B27*100</f>
        <v>#DIV/0!</v>
      </c>
      <c r="F30" s="78" t="e">
        <f>'1.Reel GSYH '!H27/'1.Reel GSYH '!$B27*100</f>
        <v>#DIV/0!</v>
      </c>
      <c r="G30" s="107" t="e">
        <f>'1.Reel GSYH '!I27/'1.Reel GSYH '!$B27*100</f>
        <v>#DIV/0!</v>
      </c>
      <c r="H30" s="74"/>
      <c r="I30" s="106" t="e">
        <f>'1.Reel GSYH '!K27/'1.Reel GSYH '!$B27*100</f>
        <v>#DIV/0!</v>
      </c>
      <c r="J30" s="77"/>
      <c r="K30" s="53" t="e">
        <f>'1.Reel GSYH '!M27/'1.Reel GSYH '!$B27*100</f>
        <v>#DIV/0!</v>
      </c>
      <c r="L30" s="106" t="e">
        <f>'1.Reel GSYH '!N27/'1.Reel GSYH '!$B27*100</f>
        <v>#DIV/0!</v>
      </c>
      <c r="M30" s="106" t="e">
        <f>'1.Reel GSYH '!O27/'1.Reel GSYH '!$B27*100</f>
        <v>#DIV/0!</v>
      </c>
      <c r="N30" s="106" t="e">
        <f>'1.Reel GSYH '!P27/'1.Reel GSYH '!$B27*100</f>
        <v>#DIV/0!</v>
      </c>
      <c r="O30" s="106" t="e">
        <f>'1.Reel GSYH '!Q27/'1.Reel GSYH '!$B27*100</f>
        <v>#DIV/0!</v>
      </c>
      <c r="P30" s="106" t="e">
        <f>'1.Reel GSYH '!R27/'1.Reel GSYH '!$B27*100</f>
        <v>#DIV/0!</v>
      </c>
      <c r="Q30" s="107" t="e">
        <f>'1.Reel GSYH '!S27/'1.Reel GSYH '!$B27*100</f>
        <v>#DIV/0!</v>
      </c>
      <c r="R30" s="77"/>
      <c r="S30" s="106" t="e">
        <f>'1.Reel GSYH '!U27/'1.Reel GSYH '!$B27*100</f>
        <v>#DIV/0!</v>
      </c>
      <c r="T30" s="77"/>
      <c r="U30" s="53" t="e">
        <f>'1.Reel GSYH '!W27/'1.Reel GSYH '!$B27*100</f>
        <v>#DIV/0!</v>
      </c>
      <c r="V30" s="106" t="e">
        <f>'1.Reel GSYH '!X27/'1.Reel GSYH '!$B27*100</f>
        <v>#DIV/0!</v>
      </c>
      <c r="W30" s="106" t="e">
        <f>'1.Reel GSYH '!Y27/'1.Reel GSYH '!$B27*100</f>
        <v>#DIV/0!</v>
      </c>
      <c r="X30" s="108" t="e">
        <f t="shared" si="3"/>
        <v>#DIV/0!</v>
      </c>
      <c r="Y30" s="109"/>
    </row>
    <row r="31" spans="1:25" ht="15.75" customHeight="1">
      <c r="A31" s="40" t="s">
        <v>19</v>
      </c>
      <c r="B31" s="103" t="e">
        <f t="shared" si="2"/>
        <v>#DIV/0!</v>
      </c>
      <c r="C31" s="75" t="e">
        <f>'1.Reel GSYH '!E28/'1.Reel GSYH '!B28*100</f>
        <v>#DIV/0!</v>
      </c>
      <c r="D31" s="78" t="e">
        <f>'1.Reel GSYH '!F28/'1.Reel GSYH '!$B28*100</f>
        <v>#DIV/0!</v>
      </c>
      <c r="E31" s="78" t="e">
        <f>'1.Reel GSYH '!G28/'1.Reel GSYH '!$B28*100</f>
        <v>#DIV/0!</v>
      </c>
      <c r="F31" s="78" t="e">
        <f>'1.Reel GSYH '!H28/'1.Reel GSYH '!$B28*100</f>
        <v>#DIV/0!</v>
      </c>
      <c r="G31" s="107" t="e">
        <f>'1.Reel GSYH '!I28/'1.Reel GSYH '!$B28*100</f>
        <v>#DIV/0!</v>
      </c>
      <c r="H31" s="74"/>
      <c r="I31" s="106" t="e">
        <f>'1.Reel GSYH '!K28/'1.Reel GSYH '!$B28*100</f>
        <v>#DIV/0!</v>
      </c>
      <c r="J31" s="77"/>
      <c r="K31" s="53" t="e">
        <f>'1.Reel GSYH '!M28/'1.Reel GSYH '!$B28*100</f>
        <v>#DIV/0!</v>
      </c>
      <c r="L31" s="106" t="e">
        <f>'1.Reel GSYH '!N28/'1.Reel GSYH '!$B28*100</f>
        <v>#DIV/0!</v>
      </c>
      <c r="M31" s="106" t="e">
        <f>'1.Reel GSYH '!O28/'1.Reel GSYH '!$B28*100</f>
        <v>#DIV/0!</v>
      </c>
      <c r="N31" s="106" t="e">
        <f>'1.Reel GSYH '!P28/'1.Reel GSYH '!$B28*100</f>
        <v>#DIV/0!</v>
      </c>
      <c r="O31" s="106" t="e">
        <f>'1.Reel GSYH '!Q28/'1.Reel GSYH '!$B28*100</f>
        <v>#DIV/0!</v>
      </c>
      <c r="P31" s="106" t="e">
        <f>'1.Reel GSYH '!R28/'1.Reel GSYH '!$B28*100</f>
        <v>#DIV/0!</v>
      </c>
      <c r="Q31" s="107" t="e">
        <f>'1.Reel GSYH '!S28/'1.Reel GSYH '!$B28*100</f>
        <v>#DIV/0!</v>
      </c>
      <c r="R31" s="77"/>
      <c r="S31" s="106" t="e">
        <f>'1.Reel GSYH '!U28/'1.Reel GSYH '!$B28*100</f>
        <v>#DIV/0!</v>
      </c>
      <c r="T31" s="77"/>
      <c r="U31" s="53" t="e">
        <f>'1.Reel GSYH '!W28/'1.Reel GSYH '!$B28*100</f>
        <v>#DIV/0!</v>
      </c>
      <c r="V31" s="106" t="e">
        <f>'1.Reel GSYH '!X28/'1.Reel GSYH '!$B28*100</f>
        <v>#DIV/0!</v>
      </c>
      <c r="W31" s="106" t="e">
        <f>'1.Reel GSYH '!Y28/'1.Reel GSYH '!$B28*100</f>
        <v>#DIV/0!</v>
      </c>
      <c r="X31" s="108" t="e">
        <f t="shared" si="3"/>
        <v>#DIV/0!</v>
      </c>
      <c r="Y31" s="109"/>
    </row>
    <row r="32" spans="1:25" ht="15.75" customHeight="1">
      <c r="A32" s="40" t="s">
        <v>20</v>
      </c>
      <c r="B32" s="103" t="e">
        <f t="shared" si="2"/>
        <v>#DIV/0!</v>
      </c>
      <c r="C32" s="75" t="e">
        <f>'1.Reel GSYH '!E29/'1.Reel GSYH '!B29*100</f>
        <v>#DIV/0!</v>
      </c>
      <c r="D32" s="78" t="e">
        <f>'1.Reel GSYH '!F29/'1.Reel GSYH '!$B29*100</f>
        <v>#DIV/0!</v>
      </c>
      <c r="E32" s="78" t="e">
        <f>'1.Reel GSYH '!G29/'1.Reel GSYH '!$B29*100</f>
        <v>#DIV/0!</v>
      </c>
      <c r="F32" s="78" t="e">
        <f>'1.Reel GSYH '!H29/'1.Reel GSYH '!$B29*100</f>
        <v>#DIV/0!</v>
      </c>
      <c r="G32" s="107" t="e">
        <f>'1.Reel GSYH '!I29/'1.Reel GSYH '!$B29*100</f>
        <v>#DIV/0!</v>
      </c>
      <c r="H32" s="74"/>
      <c r="I32" s="106" t="e">
        <f>'1.Reel GSYH '!K29/'1.Reel GSYH '!$B29*100</f>
        <v>#DIV/0!</v>
      </c>
      <c r="J32" s="98"/>
      <c r="K32" s="53" t="e">
        <f>'1.Reel GSYH '!M29/'1.Reel GSYH '!$B29*100</f>
        <v>#DIV/0!</v>
      </c>
      <c r="L32" s="106" t="e">
        <f>'1.Reel GSYH '!N29/'1.Reel GSYH '!$B29*100</f>
        <v>#DIV/0!</v>
      </c>
      <c r="M32" s="106" t="e">
        <f>'1.Reel GSYH '!O29/'1.Reel GSYH '!$B29*100</f>
        <v>#DIV/0!</v>
      </c>
      <c r="N32" s="106" t="e">
        <f>'1.Reel GSYH '!P29/'1.Reel GSYH '!$B29*100</f>
        <v>#DIV/0!</v>
      </c>
      <c r="O32" s="106" t="e">
        <f>'1.Reel GSYH '!Q29/'1.Reel GSYH '!$B29*100</f>
        <v>#DIV/0!</v>
      </c>
      <c r="P32" s="106" t="e">
        <f>'1.Reel GSYH '!R29/'1.Reel GSYH '!$B29*100</f>
        <v>#DIV/0!</v>
      </c>
      <c r="Q32" s="107" t="e">
        <f>'1.Reel GSYH '!S29/'1.Reel GSYH '!$B29*100</f>
        <v>#DIV/0!</v>
      </c>
      <c r="R32" s="98"/>
      <c r="S32" s="106" t="e">
        <f>'1.Reel GSYH '!U29/'1.Reel GSYH '!$B29*100</f>
        <v>#DIV/0!</v>
      </c>
      <c r="T32" s="77"/>
      <c r="U32" s="53" t="e">
        <f>'1.Reel GSYH '!W29/'1.Reel GSYH '!$B29*100</f>
        <v>#DIV/0!</v>
      </c>
      <c r="V32" s="106" t="e">
        <f>'1.Reel GSYH '!X29/'1.Reel GSYH '!$B29*100</f>
        <v>#DIV/0!</v>
      </c>
      <c r="W32" s="106" t="e">
        <f>'1.Reel GSYH '!Y29/'1.Reel GSYH '!$B29*100</f>
        <v>#DIV/0!</v>
      </c>
      <c r="X32" s="108" t="e">
        <f t="shared" si="3"/>
        <v>#DIV/0!</v>
      </c>
      <c r="Y32" s="109"/>
    </row>
    <row r="33" spans="1:25" ht="15.75" customHeight="1">
      <c r="A33" s="40" t="s">
        <v>21</v>
      </c>
      <c r="B33" s="103" t="e">
        <f t="shared" si="2"/>
        <v>#DIV/0!</v>
      </c>
      <c r="C33" s="75" t="e">
        <f>'1.Reel GSYH '!E30/'1.Reel GSYH '!B30*100</f>
        <v>#DIV/0!</v>
      </c>
      <c r="D33" s="78" t="e">
        <f>'1.Reel GSYH '!F30/'1.Reel GSYH '!$B30*100</f>
        <v>#DIV/0!</v>
      </c>
      <c r="E33" s="78" t="e">
        <f>'1.Reel GSYH '!G30/'1.Reel GSYH '!$B30*100</f>
        <v>#DIV/0!</v>
      </c>
      <c r="F33" s="78" t="e">
        <f>'1.Reel GSYH '!H30/'1.Reel GSYH '!$B30*100</f>
        <v>#DIV/0!</v>
      </c>
      <c r="G33" s="107" t="e">
        <f>'1.Reel GSYH '!I30/'1.Reel GSYH '!$B30*100</f>
        <v>#DIV/0!</v>
      </c>
      <c r="H33" s="74"/>
      <c r="I33" s="106" t="e">
        <f>'1.Reel GSYH '!K30/'1.Reel GSYH '!$B30*100</f>
        <v>#DIV/0!</v>
      </c>
      <c r="J33" s="98"/>
      <c r="K33" s="53" t="e">
        <f>'1.Reel GSYH '!M30/'1.Reel GSYH '!$B30*100</f>
        <v>#DIV/0!</v>
      </c>
      <c r="L33" s="106" t="e">
        <f>'1.Reel GSYH '!N30/'1.Reel GSYH '!$B30*100</f>
        <v>#DIV/0!</v>
      </c>
      <c r="M33" s="106" t="e">
        <f>'1.Reel GSYH '!O30/'1.Reel GSYH '!$B30*100</f>
        <v>#DIV/0!</v>
      </c>
      <c r="N33" s="106" t="e">
        <f>'1.Reel GSYH '!P30/'1.Reel GSYH '!$B30*100</f>
        <v>#DIV/0!</v>
      </c>
      <c r="O33" s="106" t="e">
        <f>'1.Reel GSYH '!Q30/'1.Reel GSYH '!$B30*100</f>
        <v>#DIV/0!</v>
      </c>
      <c r="P33" s="106" t="e">
        <f>'1.Reel GSYH '!R30/'1.Reel GSYH '!$B30*100</f>
        <v>#DIV/0!</v>
      </c>
      <c r="Q33" s="107" t="e">
        <f>'1.Reel GSYH '!S30/'1.Reel GSYH '!$B30*100</f>
        <v>#DIV/0!</v>
      </c>
      <c r="R33" s="98"/>
      <c r="S33" s="106" t="e">
        <f>'1.Reel GSYH '!U30/'1.Reel GSYH '!$B30*100</f>
        <v>#DIV/0!</v>
      </c>
      <c r="T33" s="77"/>
      <c r="U33" s="53" t="e">
        <f>'1.Reel GSYH '!W30/'1.Reel GSYH '!$B30*100</f>
        <v>#DIV/0!</v>
      </c>
      <c r="V33" s="106" t="e">
        <f>'1.Reel GSYH '!X30/'1.Reel GSYH '!$B30*100</f>
        <v>#DIV/0!</v>
      </c>
      <c r="W33" s="106" t="e">
        <f>'1.Reel GSYH '!Y30/'1.Reel GSYH '!$B30*100</f>
        <v>#DIV/0!</v>
      </c>
      <c r="X33" s="108" t="e">
        <f t="shared" si="3"/>
        <v>#DIV/0!</v>
      </c>
      <c r="Y33" s="109"/>
    </row>
    <row r="34" spans="1:25" ht="15.75" customHeight="1">
      <c r="A34" s="40" t="s">
        <v>22</v>
      </c>
      <c r="B34" s="103" t="e">
        <f t="shared" si="2"/>
        <v>#DIV/0!</v>
      </c>
      <c r="C34" s="75" t="e">
        <f>'1.Reel GSYH '!E31/'1.Reel GSYH '!B31*100</f>
        <v>#DIV/0!</v>
      </c>
      <c r="D34" s="78" t="e">
        <f>'1.Reel GSYH '!F31/'1.Reel GSYH '!$B31*100</f>
        <v>#DIV/0!</v>
      </c>
      <c r="E34" s="78" t="e">
        <f>'1.Reel GSYH '!G31/'1.Reel GSYH '!$B31*100</f>
        <v>#DIV/0!</v>
      </c>
      <c r="F34" s="78" t="e">
        <f>'1.Reel GSYH '!H31/'1.Reel GSYH '!$B31*100</f>
        <v>#DIV/0!</v>
      </c>
      <c r="G34" s="107" t="e">
        <f>'1.Reel GSYH '!I31/'1.Reel GSYH '!$B31*100</f>
        <v>#DIV/0!</v>
      </c>
      <c r="H34" s="74"/>
      <c r="I34" s="106" t="e">
        <f>'1.Reel GSYH '!K31/'1.Reel GSYH '!$B31*100</f>
        <v>#DIV/0!</v>
      </c>
      <c r="J34" s="98"/>
      <c r="K34" s="53" t="e">
        <f>'1.Reel GSYH '!M31/'1.Reel GSYH '!$B31*100</f>
        <v>#DIV/0!</v>
      </c>
      <c r="L34" s="106" t="e">
        <f>'1.Reel GSYH '!N31/'1.Reel GSYH '!$B31*100</f>
        <v>#DIV/0!</v>
      </c>
      <c r="M34" s="106" t="e">
        <f>'1.Reel GSYH '!O31/'1.Reel GSYH '!$B31*100</f>
        <v>#DIV/0!</v>
      </c>
      <c r="N34" s="106" t="e">
        <f>'1.Reel GSYH '!P31/'1.Reel GSYH '!$B31*100</f>
        <v>#DIV/0!</v>
      </c>
      <c r="O34" s="106" t="e">
        <f>'1.Reel GSYH '!Q31/'1.Reel GSYH '!$B31*100</f>
        <v>#DIV/0!</v>
      </c>
      <c r="P34" s="106" t="e">
        <f>'1.Reel GSYH '!R31/'1.Reel GSYH '!$B31*100</f>
        <v>#DIV/0!</v>
      </c>
      <c r="Q34" s="107" t="e">
        <f>'1.Reel GSYH '!S31/'1.Reel GSYH '!$B31*100</f>
        <v>#DIV/0!</v>
      </c>
      <c r="R34" s="98"/>
      <c r="S34" s="106" t="e">
        <f>'1.Reel GSYH '!U31/'1.Reel GSYH '!$B31*100</f>
        <v>#DIV/0!</v>
      </c>
      <c r="T34" s="77"/>
      <c r="U34" s="53" t="e">
        <f>'1.Reel GSYH '!W31/'1.Reel GSYH '!$B31*100</f>
        <v>#DIV/0!</v>
      </c>
      <c r="V34" s="106" t="e">
        <f>'1.Reel GSYH '!X31/'1.Reel GSYH '!$B31*100</f>
        <v>#DIV/0!</v>
      </c>
      <c r="W34" s="106" t="e">
        <f>'1.Reel GSYH '!Y31/'1.Reel GSYH '!$B31*100</f>
        <v>#DIV/0!</v>
      </c>
      <c r="X34" s="108" t="e">
        <f t="shared" si="3"/>
        <v>#DIV/0!</v>
      </c>
      <c r="Y34" s="109"/>
    </row>
    <row r="35" spans="1:25" ht="15.75" customHeight="1">
      <c r="A35" s="40" t="s">
        <v>23</v>
      </c>
      <c r="B35" s="103" t="e">
        <f t="shared" si="2"/>
        <v>#DIV/0!</v>
      </c>
      <c r="C35" s="75" t="e">
        <f>'1.Reel GSYH '!E32/'1.Reel GSYH '!B32*100</f>
        <v>#DIV/0!</v>
      </c>
      <c r="D35" s="78" t="e">
        <f>'1.Reel GSYH '!F32/'1.Reel GSYH '!$B32*100</f>
        <v>#DIV/0!</v>
      </c>
      <c r="E35" s="78" t="e">
        <f>'1.Reel GSYH '!G32/'1.Reel GSYH '!$B32*100</f>
        <v>#DIV/0!</v>
      </c>
      <c r="F35" s="78" t="e">
        <f>'1.Reel GSYH '!H32/'1.Reel GSYH '!$B32*100</f>
        <v>#DIV/0!</v>
      </c>
      <c r="G35" s="107" t="e">
        <f>'1.Reel GSYH '!I32/'1.Reel GSYH '!$B32*100</f>
        <v>#DIV/0!</v>
      </c>
      <c r="H35" s="74"/>
      <c r="I35" s="106" t="e">
        <f>'1.Reel GSYH '!K32/'1.Reel GSYH '!$B32*100</f>
        <v>#DIV/0!</v>
      </c>
      <c r="J35" s="98"/>
      <c r="K35" s="53" t="e">
        <f>'1.Reel GSYH '!M32/'1.Reel GSYH '!$B32*100</f>
        <v>#DIV/0!</v>
      </c>
      <c r="L35" s="106" t="e">
        <f>'1.Reel GSYH '!N32/'1.Reel GSYH '!$B32*100</f>
        <v>#DIV/0!</v>
      </c>
      <c r="M35" s="106" t="e">
        <f>'1.Reel GSYH '!O32/'1.Reel GSYH '!$B32*100</f>
        <v>#DIV/0!</v>
      </c>
      <c r="N35" s="106" t="e">
        <f>'1.Reel GSYH '!P32/'1.Reel GSYH '!$B32*100</f>
        <v>#DIV/0!</v>
      </c>
      <c r="O35" s="106" t="e">
        <f>'1.Reel GSYH '!Q32/'1.Reel GSYH '!$B32*100</f>
        <v>#DIV/0!</v>
      </c>
      <c r="P35" s="106" t="e">
        <f>'1.Reel GSYH '!R32/'1.Reel GSYH '!$B32*100</f>
        <v>#DIV/0!</v>
      </c>
      <c r="Q35" s="107" t="e">
        <f>'1.Reel GSYH '!S32/'1.Reel GSYH '!$B32*100</f>
        <v>#DIV/0!</v>
      </c>
      <c r="R35" s="98"/>
      <c r="S35" s="106" t="e">
        <f>'1.Reel GSYH '!U32/'1.Reel GSYH '!$B32*100</f>
        <v>#DIV/0!</v>
      </c>
      <c r="T35" s="77"/>
      <c r="U35" s="53" t="e">
        <f>'1.Reel GSYH '!W32/'1.Reel GSYH '!$B32*100</f>
        <v>#DIV/0!</v>
      </c>
      <c r="V35" s="106" t="e">
        <f>'1.Reel GSYH '!X32/'1.Reel GSYH '!$B32*100</f>
        <v>#DIV/0!</v>
      </c>
      <c r="W35" s="106" t="e">
        <f>'1.Reel GSYH '!Y32/'1.Reel GSYH '!$B32*100</f>
        <v>#DIV/0!</v>
      </c>
      <c r="X35" s="108" t="e">
        <f t="shared" si="3"/>
        <v>#DIV/0!</v>
      </c>
      <c r="Y35" s="109"/>
    </row>
    <row r="36" spans="1:25" ht="15.75" customHeight="1">
      <c r="A36" s="40" t="s">
        <v>24</v>
      </c>
      <c r="B36" s="103" t="e">
        <f t="shared" si="2"/>
        <v>#DIV/0!</v>
      </c>
      <c r="C36" s="75" t="e">
        <f>'1.Reel GSYH '!E33/'1.Reel GSYH '!B33*100</f>
        <v>#DIV/0!</v>
      </c>
      <c r="D36" s="78" t="e">
        <f>'1.Reel GSYH '!F33/'1.Reel GSYH '!$B33*100</f>
        <v>#DIV/0!</v>
      </c>
      <c r="E36" s="78" t="e">
        <f>'1.Reel GSYH '!G33/'1.Reel GSYH '!$B33*100</f>
        <v>#DIV/0!</v>
      </c>
      <c r="F36" s="78" t="e">
        <f>'1.Reel GSYH '!H33/'1.Reel GSYH '!$B33*100</f>
        <v>#DIV/0!</v>
      </c>
      <c r="G36" s="107" t="e">
        <f>'1.Reel GSYH '!I33/'1.Reel GSYH '!$B33*100</f>
        <v>#DIV/0!</v>
      </c>
      <c r="H36" s="74"/>
      <c r="I36" s="106" t="e">
        <f>'1.Reel GSYH '!K33/'1.Reel GSYH '!$B33*100</f>
        <v>#DIV/0!</v>
      </c>
      <c r="J36" s="98"/>
      <c r="K36" s="53" t="e">
        <f>'1.Reel GSYH '!M33/'1.Reel GSYH '!$B33*100</f>
        <v>#DIV/0!</v>
      </c>
      <c r="L36" s="106" t="e">
        <f>'1.Reel GSYH '!N33/'1.Reel GSYH '!$B33*100</f>
        <v>#DIV/0!</v>
      </c>
      <c r="M36" s="106" t="e">
        <f>'1.Reel GSYH '!O33/'1.Reel GSYH '!$B33*100</f>
        <v>#DIV/0!</v>
      </c>
      <c r="N36" s="106" t="e">
        <f>'1.Reel GSYH '!P33/'1.Reel GSYH '!$B33*100</f>
        <v>#DIV/0!</v>
      </c>
      <c r="O36" s="106" t="e">
        <f>'1.Reel GSYH '!Q33/'1.Reel GSYH '!$B33*100</f>
        <v>#DIV/0!</v>
      </c>
      <c r="P36" s="106" t="e">
        <f>'1.Reel GSYH '!R33/'1.Reel GSYH '!$B33*100</f>
        <v>#DIV/0!</v>
      </c>
      <c r="Q36" s="107" t="e">
        <f>'1.Reel GSYH '!S33/'1.Reel GSYH '!$B33*100</f>
        <v>#DIV/0!</v>
      </c>
      <c r="R36" s="98"/>
      <c r="S36" s="106" t="e">
        <f>'1.Reel GSYH '!U33/'1.Reel GSYH '!$B33*100</f>
        <v>#DIV/0!</v>
      </c>
      <c r="T36" s="77"/>
      <c r="U36" s="53" t="e">
        <f>'1.Reel GSYH '!W33/'1.Reel GSYH '!$B33*100</f>
        <v>#DIV/0!</v>
      </c>
      <c r="V36" s="106" t="e">
        <f>'1.Reel GSYH '!X33/'1.Reel GSYH '!$B33*100</f>
        <v>#DIV/0!</v>
      </c>
      <c r="W36" s="106" t="e">
        <f>'1.Reel GSYH '!Y33/'1.Reel GSYH '!$B33*100</f>
        <v>#DIV/0!</v>
      </c>
      <c r="X36" s="108" t="e">
        <f t="shared" si="3"/>
        <v>#DIV/0!</v>
      </c>
    </row>
    <row r="37" spans="1:25" ht="15.75" customHeight="1">
      <c r="A37" s="40" t="s">
        <v>25</v>
      </c>
      <c r="B37" s="103" t="e">
        <f t="shared" si="2"/>
        <v>#DIV/0!</v>
      </c>
      <c r="C37" s="75" t="e">
        <f>'1.Reel GSYH '!E34/'1.Reel GSYH '!B34*100</f>
        <v>#DIV/0!</v>
      </c>
      <c r="D37" s="78" t="e">
        <f>'1.Reel GSYH '!F34/'1.Reel GSYH '!$B34*100</f>
        <v>#DIV/0!</v>
      </c>
      <c r="E37" s="78" t="e">
        <f>'1.Reel GSYH '!G34/'1.Reel GSYH '!$B34*100</f>
        <v>#DIV/0!</v>
      </c>
      <c r="F37" s="78" t="e">
        <f>'1.Reel GSYH '!H34/'1.Reel GSYH '!$B34*100</f>
        <v>#DIV/0!</v>
      </c>
      <c r="G37" s="107" t="e">
        <f>'1.Reel GSYH '!I34/'1.Reel GSYH '!$B34*100</f>
        <v>#DIV/0!</v>
      </c>
      <c r="H37" s="74"/>
      <c r="I37" s="106" t="e">
        <f>'1.Reel GSYH '!K34/'1.Reel GSYH '!$B34*100</f>
        <v>#DIV/0!</v>
      </c>
      <c r="J37" s="98"/>
      <c r="K37" s="53" t="e">
        <f>'1.Reel GSYH '!M34/'1.Reel GSYH '!$B34*100</f>
        <v>#DIV/0!</v>
      </c>
      <c r="L37" s="106" t="e">
        <f>'1.Reel GSYH '!N34/'1.Reel GSYH '!$B34*100</f>
        <v>#DIV/0!</v>
      </c>
      <c r="M37" s="106" t="e">
        <f>'1.Reel GSYH '!O34/'1.Reel GSYH '!$B34*100</f>
        <v>#DIV/0!</v>
      </c>
      <c r="N37" s="106" t="e">
        <f>'1.Reel GSYH '!P34/'1.Reel GSYH '!$B34*100</f>
        <v>#DIV/0!</v>
      </c>
      <c r="O37" s="106" t="e">
        <f>'1.Reel GSYH '!Q34/'1.Reel GSYH '!$B34*100</f>
        <v>#DIV/0!</v>
      </c>
      <c r="P37" s="106" t="e">
        <f>'1.Reel GSYH '!R34/'1.Reel GSYH '!$B34*100</f>
        <v>#DIV/0!</v>
      </c>
      <c r="Q37" s="107" t="e">
        <f>'1.Reel GSYH '!S34/'1.Reel GSYH '!$B34*100</f>
        <v>#DIV/0!</v>
      </c>
      <c r="R37" s="98"/>
      <c r="S37" s="106" t="e">
        <f>'1.Reel GSYH '!U34/'1.Reel GSYH '!$B34*100</f>
        <v>#DIV/0!</v>
      </c>
      <c r="T37" s="77"/>
      <c r="U37" s="53" t="e">
        <f>'1.Reel GSYH '!W34/'1.Reel GSYH '!$B34*100</f>
        <v>#DIV/0!</v>
      </c>
      <c r="V37" s="106" t="e">
        <f>'1.Reel GSYH '!X34/'1.Reel GSYH '!$B34*100</f>
        <v>#DIV/0!</v>
      </c>
      <c r="W37" s="106" t="e">
        <f>'1.Reel GSYH '!Y34/'1.Reel GSYH '!$B34*100</f>
        <v>#DIV/0!</v>
      </c>
      <c r="X37" s="108" t="e">
        <f t="shared" si="3"/>
        <v>#DIV/0!</v>
      </c>
    </row>
    <row r="38" spans="1:25" ht="15.75" customHeight="1">
      <c r="A38" s="40" t="s">
        <v>26</v>
      </c>
      <c r="B38" s="103" t="e">
        <f t="shared" si="2"/>
        <v>#DIV/0!</v>
      </c>
      <c r="C38" s="75" t="e">
        <f>'1.Reel GSYH '!E35/'1.Reel GSYH '!B35*100</f>
        <v>#DIV/0!</v>
      </c>
      <c r="D38" s="78" t="e">
        <f>'1.Reel GSYH '!F35/'1.Reel GSYH '!$B35*100</f>
        <v>#DIV/0!</v>
      </c>
      <c r="E38" s="78" t="e">
        <f>'1.Reel GSYH '!G35/'1.Reel GSYH '!$B35*100</f>
        <v>#DIV/0!</v>
      </c>
      <c r="F38" s="78" t="e">
        <f>'1.Reel GSYH '!H35/'1.Reel GSYH '!$B35*100</f>
        <v>#DIV/0!</v>
      </c>
      <c r="G38" s="107" t="e">
        <f>'1.Reel GSYH '!I35/'1.Reel GSYH '!$B35*100</f>
        <v>#DIV/0!</v>
      </c>
      <c r="H38" s="74"/>
      <c r="I38" s="106" t="e">
        <f>'1.Reel GSYH '!K35/'1.Reel GSYH '!$B35*100</f>
        <v>#DIV/0!</v>
      </c>
      <c r="J38" s="98"/>
      <c r="K38" s="53" t="e">
        <f>'1.Reel GSYH '!M35/'1.Reel GSYH '!$B35*100</f>
        <v>#DIV/0!</v>
      </c>
      <c r="L38" s="106" t="e">
        <f>'1.Reel GSYH '!N35/'1.Reel GSYH '!$B35*100</f>
        <v>#DIV/0!</v>
      </c>
      <c r="M38" s="106" t="e">
        <f>'1.Reel GSYH '!O35/'1.Reel GSYH '!$B35*100</f>
        <v>#DIV/0!</v>
      </c>
      <c r="N38" s="106" t="e">
        <f>'1.Reel GSYH '!P35/'1.Reel GSYH '!$B35*100</f>
        <v>#DIV/0!</v>
      </c>
      <c r="O38" s="106" t="e">
        <f>'1.Reel GSYH '!Q35/'1.Reel GSYH '!$B35*100</f>
        <v>#DIV/0!</v>
      </c>
      <c r="P38" s="106" t="e">
        <f>'1.Reel GSYH '!R35/'1.Reel GSYH '!$B35*100</f>
        <v>#DIV/0!</v>
      </c>
      <c r="Q38" s="107" t="e">
        <f>'1.Reel GSYH '!S35/'1.Reel GSYH '!$B35*100</f>
        <v>#DIV/0!</v>
      </c>
      <c r="R38" s="98"/>
      <c r="S38" s="106" t="e">
        <f>'1.Reel GSYH '!U35/'1.Reel GSYH '!$B35*100</f>
        <v>#DIV/0!</v>
      </c>
      <c r="T38" s="77"/>
      <c r="U38" s="53" t="e">
        <f>'1.Reel GSYH '!W35/'1.Reel GSYH '!$B35*100</f>
        <v>#DIV/0!</v>
      </c>
      <c r="V38" s="106" t="e">
        <f>'1.Reel GSYH '!X35/'1.Reel GSYH '!$B35*100</f>
        <v>#DIV/0!</v>
      </c>
      <c r="W38" s="106" t="e">
        <f>'1.Reel GSYH '!Y35/'1.Reel GSYH '!$B35*100</f>
        <v>#DIV/0!</v>
      </c>
      <c r="X38" s="108" t="e">
        <f t="shared" si="3"/>
        <v>#DIV/0!</v>
      </c>
    </row>
    <row r="39" spans="1:25" ht="15.75" customHeight="1">
      <c r="A39" s="40" t="s">
        <v>27</v>
      </c>
      <c r="B39" s="103" t="e">
        <f t="shared" si="2"/>
        <v>#DIV/0!</v>
      </c>
      <c r="C39" s="75" t="e">
        <f>'1.Reel GSYH '!E36/'1.Reel GSYH '!B36*100</f>
        <v>#DIV/0!</v>
      </c>
      <c r="D39" s="78" t="e">
        <f>'1.Reel GSYH '!F36/'1.Reel GSYH '!$B36*100</f>
        <v>#DIV/0!</v>
      </c>
      <c r="E39" s="78" t="e">
        <f>'1.Reel GSYH '!G36/'1.Reel GSYH '!$B36*100</f>
        <v>#DIV/0!</v>
      </c>
      <c r="F39" s="78" t="e">
        <f>'1.Reel GSYH '!H36/'1.Reel GSYH '!$B36*100</f>
        <v>#DIV/0!</v>
      </c>
      <c r="G39" s="107" t="e">
        <f>'1.Reel GSYH '!I36/'1.Reel GSYH '!$B36*100</f>
        <v>#DIV/0!</v>
      </c>
      <c r="H39" s="74"/>
      <c r="I39" s="106" t="e">
        <f>'1.Reel GSYH '!K36/'1.Reel GSYH '!$B36*100</f>
        <v>#DIV/0!</v>
      </c>
      <c r="J39" s="98"/>
      <c r="K39" s="53" t="e">
        <f>'1.Reel GSYH '!M36/'1.Reel GSYH '!$B36*100</f>
        <v>#DIV/0!</v>
      </c>
      <c r="L39" s="106" t="e">
        <f>'1.Reel GSYH '!N36/'1.Reel GSYH '!$B36*100</f>
        <v>#DIV/0!</v>
      </c>
      <c r="M39" s="106" t="e">
        <f>'1.Reel GSYH '!O36/'1.Reel GSYH '!$B36*100</f>
        <v>#DIV/0!</v>
      </c>
      <c r="N39" s="106" t="e">
        <f>'1.Reel GSYH '!P36/'1.Reel GSYH '!$B36*100</f>
        <v>#DIV/0!</v>
      </c>
      <c r="O39" s="106" t="e">
        <f>'1.Reel GSYH '!Q36/'1.Reel GSYH '!$B36*100</f>
        <v>#DIV/0!</v>
      </c>
      <c r="P39" s="106" t="e">
        <f>'1.Reel GSYH '!R36/'1.Reel GSYH '!$B36*100</f>
        <v>#DIV/0!</v>
      </c>
      <c r="Q39" s="107" t="e">
        <f>'1.Reel GSYH '!S36/'1.Reel GSYH '!$B36*100</f>
        <v>#DIV/0!</v>
      </c>
      <c r="R39" s="98"/>
      <c r="S39" s="106" t="e">
        <f>'1.Reel GSYH '!U36/'1.Reel GSYH '!$B36*100</f>
        <v>#DIV/0!</v>
      </c>
      <c r="T39" s="77"/>
      <c r="U39" s="53" t="e">
        <f>'1.Reel GSYH '!W36/'1.Reel GSYH '!$B36*100</f>
        <v>#DIV/0!</v>
      </c>
      <c r="V39" s="106" t="e">
        <f>'1.Reel GSYH '!X36/'1.Reel GSYH '!$B36*100</f>
        <v>#DIV/0!</v>
      </c>
      <c r="W39" s="106" t="e">
        <f>'1.Reel GSYH '!Y36/'1.Reel GSYH '!$B36*100</f>
        <v>#DIV/0!</v>
      </c>
      <c r="X39" s="108" t="e">
        <f t="shared" si="3"/>
        <v>#DIV/0!</v>
      </c>
    </row>
    <row r="40" spans="1:25" ht="15.75" customHeight="1">
      <c r="A40" s="40" t="s">
        <v>28</v>
      </c>
      <c r="B40" s="103" t="e">
        <f t="shared" si="2"/>
        <v>#DIV/0!</v>
      </c>
      <c r="C40" s="75" t="e">
        <f>'1.Reel GSYH '!E37/'1.Reel GSYH '!B37*100</f>
        <v>#DIV/0!</v>
      </c>
      <c r="D40" s="78" t="e">
        <f>'1.Reel GSYH '!F37/'1.Reel GSYH '!$B37*100</f>
        <v>#DIV/0!</v>
      </c>
      <c r="E40" s="78" t="e">
        <f>'1.Reel GSYH '!G37/'1.Reel GSYH '!$B37*100</f>
        <v>#DIV/0!</v>
      </c>
      <c r="F40" s="78" t="e">
        <f>'1.Reel GSYH '!H37/'1.Reel GSYH '!$B37*100</f>
        <v>#DIV/0!</v>
      </c>
      <c r="G40" s="107" t="e">
        <f>'1.Reel GSYH '!I37/'1.Reel GSYH '!$B37*100</f>
        <v>#DIV/0!</v>
      </c>
      <c r="H40" s="74"/>
      <c r="I40" s="106" t="e">
        <f>'1.Reel GSYH '!K37/'1.Reel GSYH '!$B37*100</f>
        <v>#DIV/0!</v>
      </c>
      <c r="J40" s="98"/>
      <c r="K40" s="53" t="e">
        <f>'1.Reel GSYH '!M37/'1.Reel GSYH '!$B37*100</f>
        <v>#DIV/0!</v>
      </c>
      <c r="L40" s="106" t="e">
        <f>'1.Reel GSYH '!N37/'1.Reel GSYH '!$B37*100</f>
        <v>#DIV/0!</v>
      </c>
      <c r="M40" s="106" t="e">
        <f>'1.Reel GSYH '!O37/'1.Reel GSYH '!$B37*100</f>
        <v>#DIV/0!</v>
      </c>
      <c r="N40" s="106" t="e">
        <f>'1.Reel GSYH '!P37/'1.Reel GSYH '!$B37*100</f>
        <v>#DIV/0!</v>
      </c>
      <c r="O40" s="106" t="e">
        <f>'1.Reel GSYH '!Q37/'1.Reel GSYH '!$B37*100</f>
        <v>#DIV/0!</v>
      </c>
      <c r="P40" s="106" t="e">
        <f>'1.Reel GSYH '!R37/'1.Reel GSYH '!$B37*100</f>
        <v>#DIV/0!</v>
      </c>
      <c r="Q40" s="107" t="e">
        <f>'1.Reel GSYH '!S37/'1.Reel GSYH '!$B37*100</f>
        <v>#DIV/0!</v>
      </c>
      <c r="R40" s="98"/>
      <c r="S40" s="106" t="e">
        <f>'1.Reel GSYH '!U37/'1.Reel GSYH '!$B37*100</f>
        <v>#DIV/0!</v>
      </c>
      <c r="T40" s="77"/>
      <c r="U40" s="53" t="e">
        <f>'1.Reel GSYH '!W37/'1.Reel GSYH '!$B37*100</f>
        <v>#DIV/0!</v>
      </c>
      <c r="V40" s="106" t="e">
        <f>'1.Reel GSYH '!X37/'1.Reel GSYH '!$B37*100</f>
        <v>#DIV/0!</v>
      </c>
      <c r="W40" s="106" t="e">
        <f>'1.Reel GSYH '!Y37/'1.Reel GSYH '!$B37*100</f>
        <v>#DIV/0!</v>
      </c>
      <c r="X40" s="108" t="e">
        <f t="shared" si="3"/>
        <v>#DIV/0!</v>
      </c>
    </row>
    <row r="41" spans="1:25" ht="15.75" customHeight="1">
      <c r="A41" s="40" t="s">
        <v>29</v>
      </c>
      <c r="B41" s="103" t="e">
        <f t="shared" si="2"/>
        <v>#DIV/0!</v>
      </c>
      <c r="C41" s="75" t="e">
        <f>'1.Reel GSYH '!E38/'1.Reel GSYH '!B38*100</f>
        <v>#DIV/0!</v>
      </c>
      <c r="D41" s="78" t="e">
        <f>'1.Reel GSYH '!F38/'1.Reel GSYH '!$B38*100</f>
        <v>#DIV/0!</v>
      </c>
      <c r="E41" s="78" t="e">
        <f>'1.Reel GSYH '!G38/'1.Reel GSYH '!$B38*100</f>
        <v>#DIV/0!</v>
      </c>
      <c r="F41" s="78" t="e">
        <f>'1.Reel GSYH '!H38/'1.Reel GSYH '!$B38*100</f>
        <v>#DIV/0!</v>
      </c>
      <c r="G41" s="107" t="e">
        <f>'1.Reel GSYH '!I38/'1.Reel GSYH '!$B38*100</f>
        <v>#DIV/0!</v>
      </c>
      <c r="H41" s="74"/>
      <c r="I41" s="106" t="e">
        <f>'1.Reel GSYH '!K38/'1.Reel GSYH '!$B38*100</f>
        <v>#DIV/0!</v>
      </c>
      <c r="J41" s="98"/>
      <c r="K41" s="53" t="e">
        <f>'1.Reel GSYH '!M38/'1.Reel GSYH '!$B38*100</f>
        <v>#DIV/0!</v>
      </c>
      <c r="L41" s="106" t="e">
        <f>'1.Reel GSYH '!N38/'1.Reel GSYH '!$B38*100</f>
        <v>#DIV/0!</v>
      </c>
      <c r="M41" s="106" t="e">
        <f>'1.Reel GSYH '!O38/'1.Reel GSYH '!$B38*100</f>
        <v>#DIV/0!</v>
      </c>
      <c r="N41" s="106" t="e">
        <f>'1.Reel GSYH '!P38/'1.Reel GSYH '!$B38*100</f>
        <v>#DIV/0!</v>
      </c>
      <c r="O41" s="106" t="e">
        <f>'1.Reel GSYH '!Q38/'1.Reel GSYH '!$B38*100</f>
        <v>#DIV/0!</v>
      </c>
      <c r="P41" s="106" t="e">
        <f>'1.Reel GSYH '!R38/'1.Reel GSYH '!$B38*100</f>
        <v>#DIV/0!</v>
      </c>
      <c r="Q41" s="107" t="e">
        <f>'1.Reel GSYH '!S38/'1.Reel GSYH '!$B38*100</f>
        <v>#DIV/0!</v>
      </c>
      <c r="R41" s="98"/>
      <c r="S41" s="106" t="e">
        <f>'1.Reel GSYH '!U38/'1.Reel GSYH '!$B38*100</f>
        <v>#DIV/0!</v>
      </c>
      <c r="T41" s="77"/>
      <c r="U41" s="53" t="e">
        <f>'1.Reel GSYH '!W38/'1.Reel GSYH '!$B38*100</f>
        <v>#DIV/0!</v>
      </c>
      <c r="V41" s="106" t="e">
        <f>'1.Reel GSYH '!X38/'1.Reel GSYH '!$B38*100</f>
        <v>#DIV/0!</v>
      </c>
      <c r="W41" s="106" t="e">
        <f>'1.Reel GSYH '!Y38/'1.Reel GSYH '!$B38*100</f>
        <v>#DIV/0!</v>
      </c>
      <c r="X41" s="108" t="e">
        <f t="shared" si="3"/>
        <v>#DIV/0!</v>
      </c>
    </row>
    <row r="42" spans="1:25" ht="15.75" customHeight="1">
      <c r="A42" s="40" t="s">
        <v>30</v>
      </c>
      <c r="B42" s="103" t="e">
        <f t="shared" si="2"/>
        <v>#DIV/0!</v>
      </c>
      <c r="C42" s="75" t="e">
        <f>'1.Reel GSYH '!E39/'1.Reel GSYH '!B39*100</f>
        <v>#DIV/0!</v>
      </c>
      <c r="D42" s="78" t="e">
        <f>'1.Reel GSYH '!F39/'1.Reel GSYH '!$B39*100</f>
        <v>#DIV/0!</v>
      </c>
      <c r="E42" s="78" t="e">
        <f>'1.Reel GSYH '!G39/'1.Reel GSYH '!$B39*100</f>
        <v>#DIV/0!</v>
      </c>
      <c r="F42" s="78" t="e">
        <f>'1.Reel GSYH '!H39/'1.Reel GSYH '!$B39*100</f>
        <v>#DIV/0!</v>
      </c>
      <c r="G42" s="107" t="e">
        <f>'1.Reel GSYH '!I39/'1.Reel GSYH '!$B39*100</f>
        <v>#DIV/0!</v>
      </c>
      <c r="H42" s="74"/>
      <c r="I42" s="106" t="e">
        <f>'1.Reel GSYH '!K39/'1.Reel GSYH '!$B39*100</f>
        <v>#DIV/0!</v>
      </c>
      <c r="J42" s="98"/>
      <c r="K42" s="53" t="e">
        <f>'1.Reel GSYH '!M39/'1.Reel GSYH '!$B39*100</f>
        <v>#DIV/0!</v>
      </c>
      <c r="L42" s="106" t="e">
        <f>'1.Reel GSYH '!N39/'1.Reel GSYH '!$B39*100</f>
        <v>#DIV/0!</v>
      </c>
      <c r="M42" s="106" t="e">
        <f>'1.Reel GSYH '!O39/'1.Reel GSYH '!$B39*100</f>
        <v>#DIV/0!</v>
      </c>
      <c r="N42" s="106" t="e">
        <f>'1.Reel GSYH '!P39/'1.Reel GSYH '!$B39*100</f>
        <v>#DIV/0!</v>
      </c>
      <c r="O42" s="106" t="e">
        <f>'1.Reel GSYH '!Q39/'1.Reel GSYH '!$B39*100</f>
        <v>#DIV/0!</v>
      </c>
      <c r="P42" s="106" t="e">
        <f>'1.Reel GSYH '!R39/'1.Reel GSYH '!$B39*100</f>
        <v>#DIV/0!</v>
      </c>
      <c r="Q42" s="107" t="e">
        <f>'1.Reel GSYH '!S39/'1.Reel GSYH '!$B39*100</f>
        <v>#DIV/0!</v>
      </c>
      <c r="R42" s="98"/>
      <c r="S42" s="106" t="e">
        <f>'1.Reel GSYH '!U39/'1.Reel GSYH '!$B39*100</f>
        <v>#DIV/0!</v>
      </c>
      <c r="T42" s="77"/>
      <c r="U42" s="53" t="e">
        <f>'1.Reel GSYH '!W39/'1.Reel GSYH '!$B39*100</f>
        <v>#DIV/0!</v>
      </c>
      <c r="V42" s="106" t="e">
        <f>'1.Reel GSYH '!X39/'1.Reel GSYH '!$B39*100</f>
        <v>#DIV/0!</v>
      </c>
      <c r="W42" s="106" t="e">
        <f>'1.Reel GSYH '!Y39/'1.Reel GSYH '!$B39*100</f>
        <v>#DIV/0!</v>
      </c>
      <c r="X42" s="108" t="e">
        <f t="shared" si="3"/>
        <v>#DIV/0!</v>
      </c>
    </row>
    <row r="43" spans="1:25" ht="15.75" customHeight="1">
      <c r="A43" s="40" t="s">
        <v>31</v>
      </c>
      <c r="B43" s="103" t="e">
        <f t="shared" si="2"/>
        <v>#DIV/0!</v>
      </c>
      <c r="C43" s="75" t="e">
        <f>'1.Reel GSYH '!E40/'1.Reel GSYH '!B40*100</f>
        <v>#DIV/0!</v>
      </c>
      <c r="D43" s="78" t="e">
        <f>'1.Reel GSYH '!F40/'1.Reel GSYH '!$B40*100</f>
        <v>#DIV/0!</v>
      </c>
      <c r="E43" s="78" t="e">
        <f>'1.Reel GSYH '!G40/'1.Reel GSYH '!$B40*100</f>
        <v>#DIV/0!</v>
      </c>
      <c r="F43" s="78" t="e">
        <f>'1.Reel GSYH '!H40/'1.Reel GSYH '!$B40*100</f>
        <v>#DIV/0!</v>
      </c>
      <c r="G43" s="107" t="e">
        <f>'1.Reel GSYH '!I40/'1.Reel GSYH '!$B40*100</f>
        <v>#DIV/0!</v>
      </c>
      <c r="H43" s="74"/>
      <c r="I43" s="106" t="e">
        <f>'1.Reel GSYH '!K40/'1.Reel GSYH '!$B40*100</f>
        <v>#DIV/0!</v>
      </c>
      <c r="J43" s="98"/>
      <c r="K43" s="53" t="e">
        <f>'1.Reel GSYH '!M40/'1.Reel GSYH '!$B40*100</f>
        <v>#DIV/0!</v>
      </c>
      <c r="L43" s="106" t="e">
        <f>'1.Reel GSYH '!N40/'1.Reel GSYH '!$B40*100</f>
        <v>#DIV/0!</v>
      </c>
      <c r="M43" s="106" t="e">
        <f>'1.Reel GSYH '!O40/'1.Reel GSYH '!$B40*100</f>
        <v>#DIV/0!</v>
      </c>
      <c r="N43" s="106" t="e">
        <f>'1.Reel GSYH '!P40/'1.Reel GSYH '!$B40*100</f>
        <v>#DIV/0!</v>
      </c>
      <c r="O43" s="106" t="e">
        <f>'1.Reel GSYH '!Q40/'1.Reel GSYH '!$B40*100</f>
        <v>#DIV/0!</v>
      </c>
      <c r="P43" s="106" t="e">
        <f>'1.Reel GSYH '!R40/'1.Reel GSYH '!$B40*100</f>
        <v>#DIV/0!</v>
      </c>
      <c r="Q43" s="107" t="e">
        <f>'1.Reel GSYH '!S40/'1.Reel GSYH '!$B40*100</f>
        <v>#DIV/0!</v>
      </c>
      <c r="R43" s="98"/>
      <c r="S43" s="106" t="e">
        <f>'1.Reel GSYH '!U40/'1.Reel GSYH '!$B40*100</f>
        <v>#DIV/0!</v>
      </c>
      <c r="T43" s="77"/>
      <c r="U43" s="53" t="e">
        <f>'1.Reel GSYH '!W40/'1.Reel GSYH '!$B40*100</f>
        <v>#DIV/0!</v>
      </c>
      <c r="V43" s="106" t="e">
        <f>'1.Reel GSYH '!X40/'1.Reel GSYH '!$B40*100</f>
        <v>#DIV/0!</v>
      </c>
      <c r="W43" s="106" t="e">
        <f>'1.Reel GSYH '!Y40/'1.Reel GSYH '!$B40*100</f>
        <v>#DIV/0!</v>
      </c>
      <c r="X43" s="108" t="e">
        <f t="shared" si="3"/>
        <v>#DIV/0!</v>
      </c>
    </row>
    <row r="44" spans="1:25" ht="15.75" customHeight="1">
      <c r="A44" s="40" t="s">
        <v>32</v>
      </c>
      <c r="B44" s="103" t="e">
        <f t="shared" si="2"/>
        <v>#DIV/0!</v>
      </c>
      <c r="C44" s="75" t="e">
        <f>'1.Reel GSYH '!E41/'1.Reel GSYH '!B41*100</f>
        <v>#DIV/0!</v>
      </c>
      <c r="D44" s="78" t="e">
        <f>'1.Reel GSYH '!F41/'1.Reel GSYH '!$B41*100</f>
        <v>#DIV/0!</v>
      </c>
      <c r="E44" s="78" t="e">
        <f>'1.Reel GSYH '!G41/'1.Reel GSYH '!$B41*100</f>
        <v>#DIV/0!</v>
      </c>
      <c r="F44" s="78" t="e">
        <f>'1.Reel GSYH '!H41/'1.Reel GSYH '!$B41*100</f>
        <v>#DIV/0!</v>
      </c>
      <c r="G44" s="107" t="e">
        <f>'1.Reel GSYH '!I41/'1.Reel GSYH '!$B41*100</f>
        <v>#DIV/0!</v>
      </c>
      <c r="H44" s="74"/>
      <c r="I44" s="106" t="e">
        <f>'1.Reel GSYH '!K41/'1.Reel GSYH '!$B41*100</f>
        <v>#DIV/0!</v>
      </c>
      <c r="J44" s="98"/>
      <c r="K44" s="53" t="e">
        <f>'1.Reel GSYH '!M41/'1.Reel GSYH '!$B41*100</f>
        <v>#DIV/0!</v>
      </c>
      <c r="L44" s="106" t="e">
        <f>'1.Reel GSYH '!N41/'1.Reel GSYH '!$B41*100</f>
        <v>#DIV/0!</v>
      </c>
      <c r="M44" s="106" t="e">
        <f>'1.Reel GSYH '!O41/'1.Reel GSYH '!$B41*100</f>
        <v>#DIV/0!</v>
      </c>
      <c r="N44" s="106" t="e">
        <f>'1.Reel GSYH '!P41/'1.Reel GSYH '!$B41*100</f>
        <v>#DIV/0!</v>
      </c>
      <c r="O44" s="106" t="e">
        <f>'1.Reel GSYH '!Q41/'1.Reel GSYH '!$B41*100</f>
        <v>#DIV/0!</v>
      </c>
      <c r="P44" s="106" t="e">
        <f>'1.Reel GSYH '!R41/'1.Reel GSYH '!$B41*100</f>
        <v>#DIV/0!</v>
      </c>
      <c r="Q44" s="107" t="e">
        <f>'1.Reel GSYH '!S41/'1.Reel GSYH '!$B41*100</f>
        <v>#DIV/0!</v>
      </c>
      <c r="R44" s="98"/>
      <c r="S44" s="106" t="e">
        <f>'1.Reel GSYH '!U41/'1.Reel GSYH '!$B41*100</f>
        <v>#DIV/0!</v>
      </c>
      <c r="T44" s="77"/>
      <c r="U44" s="53" t="e">
        <f>'1.Reel GSYH '!W41/'1.Reel GSYH '!$B41*100</f>
        <v>#DIV/0!</v>
      </c>
      <c r="V44" s="106" t="e">
        <f>'1.Reel GSYH '!X41/'1.Reel GSYH '!$B41*100</f>
        <v>#DIV/0!</v>
      </c>
      <c r="W44" s="106" t="e">
        <f>'1.Reel GSYH '!Y41/'1.Reel GSYH '!$B41*100</f>
        <v>#DIV/0!</v>
      </c>
      <c r="X44" s="108" t="e">
        <f t="shared" si="3"/>
        <v>#DIV/0!</v>
      </c>
    </row>
    <row r="45" spans="1:25" ht="15.75" customHeight="1">
      <c r="A45" s="40" t="s">
        <v>33</v>
      </c>
      <c r="B45" s="103" t="e">
        <f t="shared" si="2"/>
        <v>#DIV/0!</v>
      </c>
      <c r="C45" s="75" t="e">
        <f>'1.Reel GSYH '!E42/'1.Reel GSYH '!B42*100</f>
        <v>#DIV/0!</v>
      </c>
      <c r="D45" s="78" t="e">
        <f>'1.Reel GSYH '!F42/'1.Reel GSYH '!$B42*100</f>
        <v>#DIV/0!</v>
      </c>
      <c r="E45" s="78" t="e">
        <f>'1.Reel GSYH '!G42/'1.Reel GSYH '!$B42*100</f>
        <v>#DIV/0!</v>
      </c>
      <c r="F45" s="78" t="e">
        <f>'1.Reel GSYH '!H42/'1.Reel GSYH '!$B42*100</f>
        <v>#DIV/0!</v>
      </c>
      <c r="G45" s="107" t="e">
        <f>'1.Reel GSYH '!I42/'1.Reel GSYH '!$B42*100</f>
        <v>#DIV/0!</v>
      </c>
      <c r="H45" s="74"/>
      <c r="I45" s="106" t="e">
        <f>'1.Reel GSYH '!K42/'1.Reel GSYH '!$B42*100</f>
        <v>#DIV/0!</v>
      </c>
      <c r="J45" s="98"/>
      <c r="K45" s="53" t="e">
        <f>'1.Reel GSYH '!M42/'1.Reel GSYH '!$B42*100</f>
        <v>#DIV/0!</v>
      </c>
      <c r="L45" s="106" t="e">
        <f>'1.Reel GSYH '!N42/'1.Reel GSYH '!$B42*100</f>
        <v>#DIV/0!</v>
      </c>
      <c r="M45" s="106" t="e">
        <f>'1.Reel GSYH '!O42/'1.Reel GSYH '!$B42*100</f>
        <v>#DIV/0!</v>
      </c>
      <c r="N45" s="106" t="e">
        <f>'1.Reel GSYH '!P42/'1.Reel GSYH '!$B42*100</f>
        <v>#DIV/0!</v>
      </c>
      <c r="O45" s="106" t="e">
        <f>'1.Reel GSYH '!Q42/'1.Reel GSYH '!$B42*100</f>
        <v>#DIV/0!</v>
      </c>
      <c r="P45" s="106" t="e">
        <f>'1.Reel GSYH '!R42/'1.Reel GSYH '!$B42*100</f>
        <v>#DIV/0!</v>
      </c>
      <c r="Q45" s="107" t="e">
        <f>'1.Reel GSYH '!S42/'1.Reel GSYH '!$B42*100</f>
        <v>#DIV/0!</v>
      </c>
      <c r="R45" s="98"/>
      <c r="S45" s="106" t="e">
        <f>'1.Reel GSYH '!U42/'1.Reel GSYH '!$B42*100</f>
        <v>#DIV/0!</v>
      </c>
      <c r="T45" s="77"/>
      <c r="U45" s="53" t="e">
        <f>'1.Reel GSYH '!W42/'1.Reel GSYH '!$B42*100</f>
        <v>#DIV/0!</v>
      </c>
      <c r="V45" s="106" t="e">
        <f>'1.Reel GSYH '!X42/'1.Reel GSYH '!$B42*100</f>
        <v>#DIV/0!</v>
      </c>
      <c r="W45" s="106" t="e">
        <f>'1.Reel GSYH '!Y42/'1.Reel GSYH '!$B42*100</f>
        <v>#DIV/0!</v>
      </c>
      <c r="X45" s="108" t="e">
        <f t="shared" si="3"/>
        <v>#DIV/0!</v>
      </c>
    </row>
    <row r="46" spans="1:25" ht="15.75" customHeight="1">
      <c r="A46" s="40" t="s">
        <v>34</v>
      </c>
      <c r="B46" s="103" t="e">
        <f t="shared" si="2"/>
        <v>#DIV/0!</v>
      </c>
      <c r="C46" s="75" t="e">
        <f>'1.Reel GSYH '!E43/'1.Reel GSYH '!B43*100</f>
        <v>#DIV/0!</v>
      </c>
      <c r="D46" s="78" t="e">
        <f>'1.Reel GSYH '!F43/'1.Reel GSYH '!$B43*100</f>
        <v>#DIV/0!</v>
      </c>
      <c r="E46" s="78" t="e">
        <f>'1.Reel GSYH '!G43/'1.Reel GSYH '!$B43*100</f>
        <v>#DIV/0!</v>
      </c>
      <c r="F46" s="78" t="e">
        <f>'1.Reel GSYH '!H43/'1.Reel GSYH '!$B43*100</f>
        <v>#DIV/0!</v>
      </c>
      <c r="G46" s="107" t="e">
        <f>'1.Reel GSYH '!I43/'1.Reel GSYH '!$B43*100</f>
        <v>#DIV/0!</v>
      </c>
      <c r="H46" s="74"/>
      <c r="I46" s="106" t="e">
        <f>'1.Reel GSYH '!K43/'1.Reel GSYH '!$B43*100</f>
        <v>#DIV/0!</v>
      </c>
      <c r="J46" s="98"/>
      <c r="K46" s="53" t="e">
        <f>'1.Reel GSYH '!M43/'1.Reel GSYH '!$B43*100</f>
        <v>#DIV/0!</v>
      </c>
      <c r="L46" s="106" t="e">
        <f>'1.Reel GSYH '!N43/'1.Reel GSYH '!$B43*100</f>
        <v>#DIV/0!</v>
      </c>
      <c r="M46" s="106" t="e">
        <f>'1.Reel GSYH '!O43/'1.Reel GSYH '!$B43*100</f>
        <v>#DIV/0!</v>
      </c>
      <c r="N46" s="106" t="e">
        <f>'1.Reel GSYH '!P43/'1.Reel GSYH '!$B43*100</f>
        <v>#DIV/0!</v>
      </c>
      <c r="O46" s="106" t="e">
        <f>'1.Reel GSYH '!Q43/'1.Reel GSYH '!$B43*100</f>
        <v>#DIV/0!</v>
      </c>
      <c r="P46" s="106" t="e">
        <f>'1.Reel GSYH '!R43/'1.Reel GSYH '!$B43*100</f>
        <v>#DIV/0!</v>
      </c>
      <c r="Q46" s="107" t="e">
        <f>'1.Reel GSYH '!S43/'1.Reel GSYH '!$B43*100</f>
        <v>#DIV/0!</v>
      </c>
      <c r="R46" s="98"/>
      <c r="S46" s="106" t="e">
        <f>'1.Reel GSYH '!U43/'1.Reel GSYH '!$B43*100</f>
        <v>#DIV/0!</v>
      </c>
      <c r="T46" s="77"/>
      <c r="U46" s="53" t="e">
        <f>'1.Reel GSYH '!W43/'1.Reel GSYH '!$B43*100</f>
        <v>#DIV/0!</v>
      </c>
      <c r="V46" s="106" t="e">
        <f>'1.Reel GSYH '!X43/'1.Reel GSYH '!$B43*100</f>
        <v>#DIV/0!</v>
      </c>
      <c r="W46" s="106" t="e">
        <f>'1.Reel GSYH '!Y43/'1.Reel GSYH '!$B43*100</f>
        <v>#DIV/0!</v>
      </c>
      <c r="X46" s="108" t="e">
        <f t="shared" si="3"/>
        <v>#DIV/0!</v>
      </c>
    </row>
    <row r="47" spans="1:25" ht="15.75" customHeight="1">
      <c r="A47" s="40" t="s">
        <v>35</v>
      </c>
      <c r="B47" s="103" t="e">
        <f t="shared" si="2"/>
        <v>#DIV/0!</v>
      </c>
      <c r="C47" s="75" t="e">
        <f>'1.Reel GSYH '!E44/'1.Reel GSYH '!B44*100</f>
        <v>#DIV/0!</v>
      </c>
      <c r="D47" s="78" t="e">
        <f>'1.Reel GSYH '!F44/'1.Reel GSYH '!$B44*100</f>
        <v>#DIV/0!</v>
      </c>
      <c r="E47" s="78" t="e">
        <f>'1.Reel GSYH '!G44/'1.Reel GSYH '!$B44*100</f>
        <v>#DIV/0!</v>
      </c>
      <c r="F47" s="78" t="e">
        <f>'1.Reel GSYH '!H44/'1.Reel GSYH '!$B44*100</f>
        <v>#DIV/0!</v>
      </c>
      <c r="G47" s="107" t="e">
        <f>'1.Reel GSYH '!I44/'1.Reel GSYH '!$B44*100</f>
        <v>#DIV/0!</v>
      </c>
      <c r="H47" s="74"/>
      <c r="I47" s="106" t="e">
        <f>'1.Reel GSYH '!K44/'1.Reel GSYH '!$B44*100</f>
        <v>#DIV/0!</v>
      </c>
      <c r="J47" s="98"/>
      <c r="K47" s="53" t="e">
        <f>'1.Reel GSYH '!M44/'1.Reel GSYH '!$B44*100</f>
        <v>#DIV/0!</v>
      </c>
      <c r="L47" s="106" t="e">
        <f>'1.Reel GSYH '!N44/'1.Reel GSYH '!$B44*100</f>
        <v>#DIV/0!</v>
      </c>
      <c r="M47" s="106" t="e">
        <f>'1.Reel GSYH '!O44/'1.Reel GSYH '!$B44*100</f>
        <v>#DIV/0!</v>
      </c>
      <c r="N47" s="106" t="e">
        <f>'1.Reel GSYH '!P44/'1.Reel GSYH '!$B44*100</f>
        <v>#DIV/0!</v>
      </c>
      <c r="O47" s="106" t="e">
        <f>'1.Reel GSYH '!Q44/'1.Reel GSYH '!$B44*100</f>
        <v>#DIV/0!</v>
      </c>
      <c r="P47" s="106" t="e">
        <f>'1.Reel GSYH '!R44/'1.Reel GSYH '!$B44*100</f>
        <v>#DIV/0!</v>
      </c>
      <c r="Q47" s="107" t="e">
        <f>'1.Reel GSYH '!S44/'1.Reel GSYH '!$B44*100</f>
        <v>#DIV/0!</v>
      </c>
      <c r="R47" s="98"/>
      <c r="S47" s="106" t="e">
        <f>'1.Reel GSYH '!U44/'1.Reel GSYH '!$B44*100</f>
        <v>#DIV/0!</v>
      </c>
      <c r="T47" s="77"/>
      <c r="U47" s="53" t="e">
        <f>'1.Reel GSYH '!W44/'1.Reel GSYH '!$B44*100</f>
        <v>#DIV/0!</v>
      </c>
      <c r="V47" s="106" t="e">
        <f>'1.Reel GSYH '!X44/'1.Reel GSYH '!$B44*100</f>
        <v>#DIV/0!</v>
      </c>
      <c r="W47" s="106" t="e">
        <f>'1.Reel GSYH '!Y44/'1.Reel GSYH '!$B44*100</f>
        <v>#DIV/0!</v>
      </c>
      <c r="X47" s="108" t="e">
        <f t="shared" si="3"/>
        <v>#DIV/0!</v>
      </c>
    </row>
    <row r="48" spans="1:25" ht="15.75" customHeight="1">
      <c r="A48" s="40" t="s">
        <v>36</v>
      </c>
      <c r="B48" s="103" t="e">
        <f t="shared" si="2"/>
        <v>#DIV/0!</v>
      </c>
      <c r="C48" s="75" t="e">
        <f>'1.Reel GSYH '!E45/'1.Reel GSYH '!B45*100</f>
        <v>#DIV/0!</v>
      </c>
      <c r="D48" s="78" t="e">
        <f>'1.Reel GSYH '!F45/'1.Reel GSYH '!$B45*100</f>
        <v>#DIV/0!</v>
      </c>
      <c r="E48" s="78" t="e">
        <f>'1.Reel GSYH '!G45/'1.Reel GSYH '!$B45*100</f>
        <v>#DIV/0!</v>
      </c>
      <c r="F48" s="78" t="e">
        <f>'1.Reel GSYH '!H45/'1.Reel GSYH '!$B45*100</f>
        <v>#DIV/0!</v>
      </c>
      <c r="G48" s="107" t="e">
        <f>'1.Reel GSYH '!I45/'1.Reel GSYH '!$B45*100</f>
        <v>#DIV/0!</v>
      </c>
      <c r="H48" s="74"/>
      <c r="I48" s="106" t="e">
        <f>'1.Reel GSYH '!K45/'1.Reel GSYH '!$B45*100</f>
        <v>#DIV/0!</v>
      </c>
      <c r="J48" s="98"/>
      <c r="K48" s="53" t="e">
        <f>'1.Reel GSYH '!M45/'1.Reel GSYH '!$B45*100</f>
        <v>#DIV/0!</v>
      </c>
      <c r="L48" s="106" t="e">
        <f>'1.Reel GSYH '!N45/'1.Reel GSYH '!$B45*100</f>
        <v>#DIV/0!</v>
      </c>
      <c r="M48" s="106" t="e">
        <f>'1.Reel GSYH '!O45/'1.Reel GSYH '!$B45*100</f>
        <v>#DIV/0!</v>
      </c>
      <c r="N48" s="106" t="e">
        <f>'1.Reel GSYH '!P45/'1.Reel GSYH '!$B45*100</f>
        <v>#DIV/0!</v>
      </c>
      <c r="O48" s="106" t="e">
        <f>'1.Reel GSYH '!Q45/'1.Reel GSYH '!$B45*100</f>
        <v>#DIV/0!</v>
      </c>
      <c r="P48" s="106" t="e">
        <f>'1.Reel GSYH '!R45/'1.Reel GSYH '!$B45*100</f>
        <v>#DIV/0!</v>
      </c>
      <c r="Q48" s="107" t="e">
        <f>'1.Reel GSYH '!S45/'1.Reel GSYH '!$B45*100</f>
        <v>#DIV/0!</v>
      </c>
      <c r="R48" s="98"/>
      <c r="S48" s="106" t="e">
        <f>'1.Reel GSYH '!U45/'1.Reel GSYH '!$B45*100</f>
        <v>#DIV/0!</v>
      </c>
      <c r="T48" s="77"/>
      <c r="U48" s="53" t="e">
        <f>'1.Reel GSYH '!W45/'1.Reel GSYH '!$B45*100</f>
        <v>#DIV/0!</v>
      </c>
      <c r="V48" s="106" t="e">
        <f>'1.Reel GSYH '!X45/'1.Reel GSYH '!$B45*100</f>
        <v>#DIV/0!</v>
      </c>
      <c r="W48" s="106" t="e">
        <f>'1.Reel GSYH '!Y45/'1.Reel GSYH '!$B45*100</f>
        <v>#DIV/0!</v>
      </c>
      <c r="X48" s="108" t="e">
        <f t="shared" si="3"/>
        <v>#DIV/0!</v>
      </c>
    </row>
    <row r="49" spans="1:24" ht="15.75" customHeight="1">
      <c r="A49" s="40" t="s">
        <v>37</v>
      </c>
      <c r="B49" s="103" t="e">
        <f t="shared" si="2"/>
        <v>#DIV/0!</v>
      </c>
      <c r="C49" s="75" t="e">
        <f>'1.Reel GSYH '!E46/'1.Reel GSYH '!B46*100</f>
        <v>#DIV/0!</v>
      </c>
      <c r="D49" s="78" t="e">
        <f>'1.Reel GSYH '!F46/'1.Reel GSYH '!$B46*100</f>
        <v>#DIV/0!</v>
      </c>
      <c r="E49" s="78" t="e">
        <f>'1.Reel GSYH '!G46/'1.Reel GSYH '!$B46*100</f>
        <v>#DIV/0!</v>
      </c>
      <c r="F49" s="78" t="e">
        <f>'1.Reel GSYH '!H46/'1.Reel GSYH '!$B46*100</f>
        <v>#DIV/0!</v>
      </c>
      <c r="G49" s="107" t="e">
        <f>'1.Reel GSYH '!I46/'1.Reel GSYH '!$B46*100</f>
        <v>#DIV/0!</v>
      </c>
      <c r="H49" s="74"/>
      <c r="I49" s="106" t="e">
        <f>'1.Reel GSYH '!K46/'1.Reel GSYH '!$B46*100</f>
        <v>#DIV/0!</v>
      </c>
      <c r="J49" s="98"/>
      <c r="K49" s="53" t="e">
        <f>'1.Reel GSYH '!M46/'1.Reel GSYH '!$B46*100</f>
        <v>#DIV/0!</v>
      </c>
      <c r="L49" s="106" t="e">
        <f>'1.Reel GSYH '!N46/'1.Reel GSYH '!$B46*100</f>
        <v>#DIV/0!</v>
      </c>
      <c r="M49" s="106" t="e">
        <f>'1.Reel GSYH '!O46/'1.Reel GSYH '!$B46*100</f>
        <v>#DIV/0!</v>
      </c>
      <c r="N49" s="106" t="e">
        <f>'1.Reel GSYH '!P46/'1.Reel GSYH '!$B46*100</f>
        <v>#DIV/0!</v>
      </c>
      <c r="O49" s="106" t="e">
        <f>'1.Reel GSYH '!Q46/'1.Reel GSYH '!$B46*100</f>
        <v>#DIV/0!</v>
      </c>
      <c r="P49" s="106" t="e">
        <f>'1.Reel GSYH '!R46/'1.Reel GSYH '!$B46*100</f>
        <v>#DIV/0!</v>
      </c>
      <c r="Q49" s="107" t="e">
        <f>'1.Reel GSYH '!S46/'1.Reel GSYH '!$B46*100</f>
        <v>#DIV/0!</v>
      </c>
      <c r="R49" s="98"/>
      <c r="S49" s="106" t="e">
        <f>'1.Reel GSYH '!U46/'1.Reel GSYH '!$B46*100</f>
        <v>#DIV/0!</v>
      </c>
      <c r="T49" s="77"/>
      <c r="U49" s="53" t="e">
        <f>'1.Reel GSYH '!W46/'1.Reel GSYH '!$B46*100</f>
        <v>#DIV/0!</v>
      </c>
      <c r="V49" s="106" t="e">
        <f>'1.Reel GSYH '!X46/'1.Reel GSYH '!$B46*100</f>
        <v>#DIV/0!</v>
      </c>
      <c r="W49" s="106" t="e">
        <f>'1.Reel GSYH '!Y46/'1.Reel GSYH '!$B46*100</f>
        <v>#DIV/0!</v>
      </c>
      <c r="X49" s="108" t="e">
        <f t="shared" si="3"/>
        <v>#DIV/0!</v>
      </c>
    </row>
    <row r="50" spans="1:24" ht="15.75" customHeight="1">
      <c r="A50" s="40" t="s">
        <v>38</v>
      </c>
      <c r="B50" s="103" t="e">
        <f t="shared" si="2"/>
        <v>#DIV/0!</v>
      </c>
      <c r="C50" s="75" t="e">
        <f>'1.Reel GSYH '!E47/'1.Reel GSYH '!B47*100</f>
        <v>#DIV/0!</v>
      </c>
      <c r="D50" s="78" t="e">
        <f>'1.Reel GSYH '!F47/'1.Reel GSYH '!$B47*100</f>
        <v>#DIV/0!</v>
      </c>
      <c r="E50" s="78" t="e">
        <f>'1.Reel GSYH '!G47/'1.Reel GSYH '!$B47*100</f>
        <v>#DIV/0!</v>
      </c>
      <c r="F50" s="78" t="e">
        <f>'1.Reel GSYH '!H47/'1.Reel GSYH '!$B47*100</f>
        <v>#DIV/0!</v>
      </c>
      <c r="G50" s="107" t="e">
        <f>'1.Reel GSYH '!I47/'1.Reel GSYH '!$B47*100</f>
        <v>#DIV/0!</v>
      </c>
      <c r="H50" s="74"/>
      <c r="I50" s="106" t="e">
        <f>'1.Reel GSYH '!K47/'1.Reel GSYH '!$B47*100</f>
        <v>#DIV/0!</v>
      </c>
      <c r="J50" s="98"/>
      <c r="K50" s="53" t="e">
        <f>'1.Reel GSYH '!M47/'1.Reel GSYH '!$B47*100</f>
        <v>#DIV/0!</v>
      </c>
      <c r="L50" s="106" t="e">
        <f>'1.Reel GSYH '!N47/'1.Reel GSYH '!$B47*100</f>
        <v>#DIV/0!</v>
      </c>
      <c r="M50" s="106" t="e">
        <f>'1.Reel GSYH '!O47/'1.Reel GSYH '!$B47*100</f>
        <v>#DIV/0!</v>
      </c>
      <c r="N50" s="106" t="e">
        <f>'1.Reel GSYH '!P47/'1.Reel GSYH '!$B47*100</f>
        <v>#DIV/0!</v>
      </c>
      <c r="O50" s="106" t="e">
        <f>'1.Reel GSYH '!Q47/'1.Reel GSYH '!$B47*100</f>
        <v>#DIV/0!</v>
      </c>
      <c r="P50" s="106" t="e">
        <f>'1.Reel GSYH '!R47/'1.Reel GSYH '!$B47*100</f>
        <v>#DIV/0!</v>
      </c>
      <c r="Q50" s="107" t="e">
        <f>'1.Reel GSYH '!S47/'1.Reel GSYH '!$B47*100</f>
        <v>#DIV/0!</v>
      </c>
      <c r="R50" s="98"/>
      <c r="S50" s="106" t="e">
        <f>'1.Reel GSYH '!U47/'1.Reel GSYH '!$B47*100</f>
        <v>#DIV/0!</v>
      </c>
      <c r="T50" s="77"/>
      <c r="U50" s="53" t="e">
        <f>'1.Reel GSYH '!W47/'1.Reel GSYH '!$B47*100</f>
        <v>#DIV/0!</v>
      </c>
      <c r="V50" s="106" t="e">
        <f>'1.Reel GSYH '!X47/'1.Reel GSYH '!$B47*100</f>
        <v>#DIV/0!</v>
      </c>
      <c r="W50" s="106" t="e">
        <f>'1.Reel GSYH '!Y47/'1.Reel GSYH '!$B47*100</f>
        <v>#DIV/0!</v>
      </c>
      <c r="X50" s="108" t="e">
        <f t="shared" si="3"/>
        <v>#DIV/0!</v>
      </c>
    </row>
    <row r="51" spans="1:24" ht="15.75" customHeight="1">
      <c r="A51" s="40" t="s">
        <v>39</v>
      </c>
      <c r="B51" s="103" t="e">
        <f t="shared" si="2"/>
        <v>#DIV/0!</v>
      </c>
      <c r="C51" s="75" t="e">
        <f>'1.Reel GSYH '!E48/'1.Reel GSYH '!B48*100</f>
        <v>#DIV/0!</v>
      </c>
      <c r="D51" s="78" t="e">
        <f>'1.Reel GSYH '!F48/'1.Reel GSYH '!$B48*100</f>
        <v>#DIV/0!</v>
      </c>
      <c r="E51" s="78" t="e">
        <f>'1.Reel GSYH '!G48/'1.Reel GSYH '!$B48*100</f>
        <v>#DIV/0!</v>
      </c>
      <c r="F51" s="78" t="e">
        <f>'1.Reel GSYH '!H48/'1.Reel GSYH '!$B48*100</f>
        <v>#DIV/0!</v>
      </c>
      <c r="G51" s="107" t="e">
        <f>'1.Reel GSYH '!I48/'1.Reel GSYH '!$B48*100</f>
        <v>#DIV/0!</v>
      </c>
      <c r="H51" s="74"/>
      <c r="I51" s="106" t="e">
        <f>'1.Reel GSYH '!K48/'1.Reel GSYH '!$B48*100</f>
        <v>#DIV/0!</v>
      </c>
      <c r="J51" s="98"/>
      <c r="K51" s="53" t="e">
        <f>'1.Reel GSYH '!M48/'1.Reel GSYH '!$B48*100</f>
        <v>#DIV/0!</v>
      </c>
      <c r="L51" s="106" t="e">
        <f>'1.Reel GSYH '!N48/'1.Reel GSYH '!$B48*100</f>
        <v>#DIV/0!</v>
      </c>
      <c r="M51" s="106" t="e">
        <f>'1.Reel GSYH '!O48/'1.Reel GSYH '!$B48*100</f>
        <v>#DIV/0!</v>
      </c>
      <c r="N51" s="106" t="e">
        <f>'1.Reel GSYH '!P48/'1.Reel GSYH '!$B48*100</f>
        <v>#DIV/0!</v>
      </c>
      <c r="O51" s="106" t="e">
        <f>'1.Reel GSYH '!Q48/'1.Reel GSYH '!$B48*100</f>
        <v>#DIV/0!</v>
      </c>
      <c r="P51" s="106" t="e">
        <f>'1.Reel GSYH '!R48/'1.Reel GSYH '!$B48*100</f>
        <v>#DIV/0!</v>
      </c>
      <c r="Q51" s="107" t="e">
        <f>'1.Reel GSYH '!S48/'1.Reel GSYH '!$B48*100</f>
        <v>#DIV/0!</v>
      </c>
      <c r="R51" s="98"/>
      <c r="S51" s="106" t="e">
        <f>'1.Reel GSYH '!U48/'1.Reel GSYH '!$B48*100</f>
        <v>#DIV/0!</v>
      </c>
      <c r="T51" s="77"/>
      <c r="U51" s="53" t="e">
        <f>'1.Reel GSYH '!W48/'1.Reel GSYH '!$B48*100</f>
        <v>#DIV/0!</v>
      </c>
      <c r="V51" s="106" t="e">
        <f>'1.Reel GSYH '!X48/'1.Reel GSYH '!$B48*100</f>
        <v>#DIV/0!</v>
      </c>
      <c r="W51" s="106" t="e">
        <f>'1.Reel GSYH '!Y48/'1.Reel GSYH '!$B48*100</f>
        <v>#DIV/0!</v>
      </c>
      <c r="X51" s="108" t="e">
        <f t="shared" si="3"/>
        <v>#DIV/0!</v>
      </c>
    </row>
    <row r="52" spans="1:24" ht="15.75" customHeight="1">
      <c r="A52" s="40" t="s">
        <v>40</v>
      </c>
      <c r="B52" s="103" t="e">
        <f t="shared" si="2"/>
        <v>#DIV/0!</v>
      </c>
      <c r="C52" s="75" t="e">
        <f>'1.Reel GSYH '!E49/'1.Reel GSYH '!B49*100</f>
        <v>#DIV/0!</v>
      </c>
      <c r="D52" s="78" t="e">
        <f>'1.Reel GSYH '!F49/'1.Reel GSYH '!$B49*100</f>
        <v>#DIV/0!</v>
      </c>
      <c r="E52" s="78" t="e">
        <f>'1.Reel GSYH '!G49/'1.Reel GSYH '!$B49*100</f>
        <v>#DIV/0!</v>
      </c>
      <c r="F52" s="78" t="e">
        <f>'1.Reel GSYH '!H49/'1.Reel GSYH '!$B49*100</f>
        <v>#DIV/0!</v>
      </c>
      <c r="G52" s="107" t="e">
        <f>'1.Reel GSYH '!I49/'1.Reel GSYH '!$B49*100</f>
        <v>#DIV/0!</v>
      </c>
      <c r="H52" s="74"/>
      <c r="I52" s="106" t="e">
        <f>'1.Reel GSYH '!K49/'1.Reel GSYH '!$B49*100</f>
        <v>#DIV/0!</v>
      </c>
      <c r="J52" s="98"/>
      <c r="K52" s="53" t="e">
        <f>'1.Reel GSYH '!M49/'1.Reel GSYH '!$B49*100</f>
        <v>#DIV/0!</v>
      </c>
      <c r="L52" s="106" t="e">
        <f>'1.Reel GSYH '!N49/'1.Reel GSYH '!$B49*100</f>
        <v>#DIV/0!</v>
      </c>
      <c r="M52" s="106" t="e">
        <f>'1.Reel GSYH '!O49/'1.Reel GSYH '!$B49*100</f>
        <v>#DIV/0!</v>
      </c>
      <c r="N52" s="106" t="e">
        <f>'1.Reel GSYH '!P49/'1.Reel GSYH '!$B49*100</f>
        <v>#DIV/0!</v>
      </c>
      <c r="O52" s="106" t="e">
        <f>'1.Reel GSYH '!Q49/'1.Reel GSYH '!$B49*100</f>
        <v>#DIV/0!</v>
      </c>
      <c r="P52" s="106" t="e">
        <f>'1.Reel GSYH '!R49/'1.Reel GSYH '!$B49*100</f>
        <v>#DIV/0!</v>
      </c>
      <c r="Q52" s="107" t="e">
        <f>'1.Reel GSYH '!S49/'1.Reel GSYH '!$B49*100</f>
        <v>#DIV/0!</v>
      </c>
      <c r="R52" s="98"/>
      <c r="S52" s="106" t="e">
        <f>'1.Reel GSYH '!U49/'1.Reel GSYH '!$B49*100</f>
        <v>#DIV/0!</v>
      </c>
      <c r="T52" s="77"/>
      <c r="U52" s="53" t="e">
        <f>'1.Reel GSYH '!W49/'1.Reel GSYH '!$B49*100</f>
        <v>#DIV/0!</v>
      </c>
      <c r="V52" s="106" t="e">
        <f>'1.Reel GSYH '!X49/'1.Reel GSYH '!$B49*100</f>
        <v>#DIV/0!</v>
      </c>
      <c r="W52" s="106" t="e">
        <f>'1.Reel GSYH '!Y49/'1.Reel GSYH '!$B49*100</f>
        <v>#DIV/0!</v>
      </c>
      <c r="X52" s="108" t="e">
        <f t="shared" si="3"/>
        <v>#DIV/0!</v>
      </c>
    </row>
    <row r="53" spans="1:24" ht="15.75" customHeight="1">
      <c r="A53" s="40" t="s">
        <v>41</v>
      </c>
      <c r="B53" s="103" t="e">
        <f t="shared" si="2"/>
        <v>#DIV/0!</v>
      </c>
      <c r="C53" s="75" t="e">
        <f>'1.Reel GSYH '!E50/'1.Reel GSYH '!B50*100</f>
        <v>#DIV/0!</v>
      </c>
      <c r="D53" s="78" t="e">
        <f>'1.Reel GSYH '!F50/'1.Reel GSYH '!$B50*100</f>
        <v>#DIV/0!</v>
      </c>
      <c r="E53" s="78" t="e">
        <f>'1.Reel GSYH '!G50/'1.Reel GSYH '!$B50*100</f>
        <v>#DIV/0!</v>
      </c>
      <c r="F53" s="78" t="e">
        <f>'1.Reel GSYH '!H50/'1.Reel GSYH '!$B50*100</f>
        <v>#DIV/0!</v>
      </c>
      <c r="G53" s="107" t="e">
        <f>'1.Reel GSYH '!I50/'1.Reel GSYH '!$B50*100</f>
        <v>#DIV/0!</v>
      </c>
      <c r="H53" s="74"/>
      <c r="I53" s="106" t="e">
        <f>'1.Reel GSYH '!K50/'1.Reel GSYH '!$B50*100</f>
        <v>#DIV/0!</v>
      </c>
      <c r="J53" s="98"/>
      <c r="K53" s="53" t="e">
        <f>'1.Reel GSYH '!M50/'1.Reel GSYH '!$B50*100</f>
        <v>#DIV/0!</v>
      </c>
      <c r="L53" s="106" t="e">
        <f>'1.Reel GSYH '!N50/'1.Reel GSYH '!$B50*100</f>
        <v>#DIV/0!</v>
      </c>
      <c r="M53" s="106" t="e">
        <f>'1.Reel GSYH '!O50/'1.Reel GSYH '!$B50*100</f>
        <v>#DIV/0!</v>
      </c>
      <c r="N53" s="106" t="e">
        <f>'1.Reel GSYH '!P50/'1.Reel GSYH '!$B50*100</f>
        <v>#DIV/0!</v>
      </c>
      <c r="O53" s="106" t="e">
        <f>'1.Reel GSYH '!Q50/'1.Reel GSYH '!$B50*100</f>
        <v>#DIV/0!</v>
      </c>
      <c r="P53" s="106" t="e">
        <f>'1.Reel GSYH '!R50/'1.Reel GSYH '!$B50*100</f>
        <v>#DIV/0!</v>
      </c>
      <c r="Q53" s="107" t="e">
        <f>'1.Reel GSYH '!S50/'1.Reel GSYH '!$B50*100</f>
        <v>#DIV/0!</v>
      </c>
      <c r="R53" s="98"/>
      <c r="S53" s="106" t="e">
        <f>'1.Reel GSYH '!U50/'1.Reel GSYH '!$B50*100</f>
        <v>#DIV/0!</v>
      </c>
      <c r="T53" s="77"/>
      <c r="U53" s="53" t="e">
        <f>'1.Reel GSYH '!W50/'1.Reel GSYH '!$B50*100</f>
        <v>#DIV/0!</v>
      </c>
      <c r="V53" s="106" t="e">
        <f>'1.Reel GSYH '!X50/'1.Reel GSYH '!$B50*100</f>
        <v>#DIV/0!</v>
      </c>
      <c r="W53" s="106" t="e">
        <f>'1.Reel GSYH '!Y50/'1.Reel GSYH '!$B50*100</f>
        <v>#DIV/0!</v>
      </c>
      <c r="X53" s="108" t="e">
        <f t="shared" si="3"/>
        <v>#DIV/0!</v>
      </c>
    </row>
    <row r="54" spans="1:24" ht="15.75" customHeight="1">
      <c r="A54" s="40" t="s">
        <v>42</v>
      </c>
      <c r="B54" s="103" t="e">
        <f t="shared" si="2"/>
        <v>#DIV/0!</v>
      </c>
      <c r="C54" s="75" t="e">
        <f>'1.Reel GSYH '!E51/'1.Reel GSYH '!B51*100</f>
        <v>#DIV/0!</v>
      </c>
      <c r="D54" s="78" t="e">
        <f>'1.Reel GSYH '!F51/'1.Reel GSYH '!$B51*100</f>
        <v>#DIV/0!</v>
      </c>
      <c r="E54" s="78" t="e">
        <f>'1.Reel GSYH '!G51/'1.Reel GSYH '!$B51*100</f>
        <v>#DIV/0!</v>
      </c>
      <c r="F54" s="78" t="e">
        <f>'1.Reel GSYH '!H51/'1.Reel GSYH '!$B51*100</f>
        <v>#DIV/0!</v>
      </c>
      <c r="G54" s="107" t="e">
        <f>'1.Reel GSYH '!I51/'1.Reel GSYH '!$B51*100</f>
        <v>#DIV/0!</v>
      </c>
      <c r="H54" s="74"/>
      <c r="I54" s="106" t="e">
        <f>'1.Reel GSYH '!K51/'1.Reel GSYH '!$B51*100</f>
        <v>#DIV/0!</v>
      </c>
      <c r="J54" s="98"/>
      <c r="K54" s="53" t="e">
        <f>'1.Reel GSYH '!M51/'1.Reel GSYH '!$B51*100</f>
        <v>#DIV/0!</v>
      </c>
      <c r="L54" s="106" t="e">
        <f>'1.Reel GSYH '!N51/'1.Reel GSYH '!$B51*100</f>
        <v>#DIV/0!</v>
      </c>
      <c r="M54" s="106" t="e">
        <f>'1.Reel GSYH '!O51/'1.Reel GSYH '!$B51*100</f>
        <v>#DIV/0!</v>
      </c>
      <c r="N54" s="106" t="e">
        <f>'1.Reel GSYH '!P51/'1.Reel GSYH '!$B51*100</f>
        <v>#DIV/0!</v>
      </c>
      <c r="O54" s="106" t="e">
        <f>'1.Reel GSYH '!Q51/'1.Reel GSYH '!$B51*100</f>
        <v>#DIV/0!</v>
      </c>
      <c r="P54" s="106" t="e">
        <f>'1.Reel GSYH '!R51/'1.Reel GSYH '!$B51*100</f>
        <v>#DIV/0!</v>
      </c>
      <c r="Q54" s="107" t="e">
        <f>'1.Reel GSYH '!S51/'1.Reel GSYH '!$B51*100</f>
        <v>#DIV/0!</v>
      </c>
      <c r="R54" s="98"/>
      <c r="S54" s="106" t="e">
        <f>'1.Reel GSYH '!U51/'1.Reel GSYH '!$B51*100</f>
        <v>#DIV/0!</v>
      </c>
      <c r="T54" s="77"/>
      <c r="U54" s="53" t="e">
        <f>'1.Reel GSYH '!W51/'1.Reel GSYH '!$B51*100</f>
        <v>#DIV/0!</v>
      </c>
      <c r="V54" s="106" t="e">
        <f>'1.Reel GSYH '!X51/'1.Reel GSYH '!$B51*100</f>
        <v>#DIV/0!</v>
      </c>
      <c r="W54" s="106" t="e">
        <f>'1.Reel GSYH '!Y51/'1.Reel GSYH '!$B51*100</f>
        <v>#DIV/0!</v>
      </c>
      <c r="X54" s="108" t="e">
        <f t="shared" si="3"/>
        <v>#DIV/0!</v>
      </c>
    </row>
    <row r="55" spans="1:24" ht="15.75" customHeight="1">
      <c r="A55" s="40" t="s">
        <v>43</v>
      </c>
      <c r="B55" s="103" t="e">
        <f t="shared" si="2"/>
        <v>#DIV/0!</v>
      </c>
      <c r="C55" s="75" t="e">
        <f>'1.Reel GSYH '!E52/'1.Reel GSYH '!B52*100</f>
        <v>#DIV/0!</v>
      </c>
      <c r="D55" s="78" t="e">
        <f>'1.Reel GSYH '!F52/'1.Reel GSYH '!$B52*100</f>
        <v>#DIV/0!</v>
      </c>
      <c r="E55" s="78" t="e">
        <f>'1.Reel GSYH '!G52/'1.Reel GSYH '!$B52*100</f>
        <v>#DIV/0!</v>
      </c>
      <c r="F55" s="78" t="e">
        <f>'1.Reel GSYH '!H52/'1.Reel GSYH '!$B52*100</f>
        <v>#DIV/0!</v>
      </c>
      <c r="G55" s="107" t="e">
        <f>'1.Reel GSYH '!I52/'1.Reel GSYH '!$B52*100</f>
        <v>#DIV/0!</v>
      </c>
      <c r="H55" s="74"/>
      <c r="I55" s="106" t="e">
        <f>'1.Reel GSYH '!K52/'1.Reel GSYH '!$B52*100</f>
        <v>#DIV/0!</v>
      </c>
      <c r="J55" s="98"/>
      <c r="K55" s="53" t="e">
        <f>'1.Reel GSYH '!M52/'1.Reel GSYH '!$B52*100</f>
        <v>#DIV/0!</v>
      </c>
      <c r="L55" s="106" t="e">
        <f>'1.Reel GSYH '!N52/'1.Reel GSYH '!$B52*100</f>
        <v>#DIV/0!</v>
      </c>
      <c r="M55" s="106" t="e">
        <f>'1.Reel GSYH '!O52/'1.Reel GSYH '!$B52*100</f>
        <v>#DIV/0!</v>
      </c>
      <c r="N55" s="106" t="e">
        <f>'1.Reel GSYH '!P52/'1.Reel GSYH '!$B52*100</f>
        <v>#DIV/0!</v>
      </c>
      <c r="O55" s="106" t="e">
        <f>'1.Reel GSYH '!Q52/'1.Reel GSYH '!$B52*100</f>
        <v>#DIV/0!</v>
      </c>
      <c r="P55" s="106" t="e">
        <f>'1.Reel GSYH '!R52/'1.Reel GSYH '!$B52*100</f>
        <v>#DIV/0!</v>
      </c>
      <c r="Q55" s="107" t="e">
        <f>'1.Reel GSYH '!S52/'1.Reel GSYH '!$B52*100</f>
        <v>#DIV/0!</v>
      </c>
      <c r="R55" s="98"/>
      <c r="S55" s="106" t="e">
        <f>'1.Reel GSYH '!U52/'1.Reel GSYH '!$B52*100</f>
        <v>#DIV/0!</v>
      </c>
      <c r="T55" s="77"/>
      <c r="U55" s="53" t="e">
        <f>'1.Reel GSYH '!W52/'1.Reel GSYH '!$B52*100</f>
        <v>#DIV/0!</v>
      </c>
      <c r="V55" s="106" t="e">
        <f>'1.Reel GSYH '!X52/'1.Reel GSYH '!$B52*100</f>
        <v>#DIV/0!</v>
      </c>
      <c r="W55" s="106" t="e">
        <f>'1.Reel GSYH '!Y52/'1.Reel GSYH '!$B52*100</f>
        <v>#DIV/0!</v>
      </c>
      <c r="X55" s="108" t="e">
        <f t="shared" si="3"/>
        <v>#DIV/0!</v>
      </c>
    </row>
    <row r="56" spans="1:24" ht="15.75" customHeight="1">
      <c r="A56" s="40" t="s">
        <v>44</v>
      </c>
      <c r="B56" s="103" t="e">
        <f t="shared" si="2"/>
        <v>#DIV/0!</v>
      </c>
      <c r="C56" s="75" t="e">
        <f>'1.Reel GSYH '!E53/'1.Reel GSYH '!B53*100</f>
        <v>#DIV/0!</v>
      </c>
      <c r="D56" s="78" t="e">
        <f>'1.Reel GSYH '!F53/'1.Reel GSYH '!$B53*100</f>
        <v>#DIV/0!</v>
      </c>
      <c r="E56" s="78" t="e">
        <f>'1.Reel GSYH '!G53/'1.Reel GSYH '!$B53*100</f>
        <v>#DIV/0!</v>
      </c>
      <c r="F56" s="78" t="e">
        <f>'1.Reel GSYH '!H53/'1.Reel GSYH '!$B53*100</f>
        <v>#DIV/0!</v>
      </c>
      <c r="G56" s="107" t="e">
        <f>'1.Reel GSYH '!I53/'1.Reel GSYH '!$B53*100</f>
        <v>#DIV/0!</v>
      </c>
      <c r="H56" s="74"/>
      <c r="I56" s="106" t="e">
        <f>'1.Reel GSYH '!K53/'1.Reel GSYH '!$B53*100</f>
        <v>#DIV/0!</v>
      </c>
      <c r="J56" s="98"/>
      <c r="K56" s="53" t="e">
        <f>'1.Reel GSYH '!M53/'1.Reel GSYH '!$B53*100</f>
        <v>#DIV/0!</v>
      </c>
      <c r="L56" s="106" t="e">
        <f>'1.Reel GSYH '!N53/'1.Reel GSYH '!$B53*100</f>
        <v>#DIV/0!</v>
      </c>
      <c r="M56" s="106" t="e">
        <f>'1.Reel GSYH '!O53/'1.Reel GSYH '!$B53*100</f>
        <v>#DIV/0!</v>
      </c>
      <c r="N56" s="106" t="e">
        <f>'1.Reel GSYH '!P53/'1.Reel GSYH '!$B53*100</f>
        <v>#DIV/0!</v>
      </c>
      <c r="O56" s="106" t="e">
        <f>'1.Reel GSYH '!Q53/'1.Reel GSYH '!$B53*100</f>
        <v>#DIV/0!</v>
      </c>
      <c r="P56" s="106" t="e">
        <f>'1.Reel GSYH '!R53/'1.Reel GSYH '!$B53*100</f>
        <v>#DIV/0!</v>
      </c>
      <c r="Q56" s="107" t="e">
        <f>'1.Reel GSYH '!S53/'1.Reel GSYH '!$B53*100</f>
        <v>#DIV/0!</v>
      </c>
      <c r="R56" s="98"/>
      <c r="S56" s="106" t="e">
        <f>'1.Reel GSYH '!U53/'1.Reel GSYH '!$B53*100</f>
        <v>#DIV/0!</v>
      </c>
      <c r="T56" s="77"/>
      <c r="U56" s="53" t="e">
        <f>'1.Reel GSYH '!W53/'1.Reel GSYH '!$B53*100</f>
        <v>#DIV/0!</v>
      </c>
      <c r="V56" s="106" t="e">
        <f>'1.Reel GSYH '!X53/'1.Reel GSYH '!$B53*100</f>
        <v>#DIV/0!</v>
      </c>
      <c r="W56" s="106" t="e">
        <f>'1.Reel GSYH '!Y53/'1.Reel GSYH '!$B53*100</f>
        <v>#DIV/0!</v>
      </c>
      <c r="X56" s="108" t="e">
        <f t="shared" si="3"/>
        <v>#DIV/0!</v>
      </c>
    </row>
    <row r="57" spans="1:24" ht="15.75" customHeight="1">
      <c r="A57" s="40" t="s">
        <v>45</v>
      </c>
      <c r="B57" s="103" t="e">
        <f t="shared" si="2"/>
        <v>#DIV/0!</v>
      </c>
      <c r="C57" s="75" t="e">
        <f>'1.Reel GSYH '!E54/'1.Reel GSYH '!B54*100</f>
        <v>#DIV/0!</v>
      </c>
      <c r="D57" s="78" t="e">
        <f>'1.Reel GSYH '!F54/'1.Reel GSYH '!$B54*100</f>
        <v>#DIV/0!</v>
      </c>
      <c r="E57" s="78" t="e">
        <f>'1.Reel GSYH '!G54/'1.Reel GSYH '!$B54*100</f>
        <v>#DIV/0!</v>
      </c>
      <c r="F57" s="78" t="e">
        <f>'1.Reel GSYH '!H54/'1.Reel GSYH '!$B54*100</f>
        <v>#DIV/0!</v>
      </c>
      <c r="G57" s="107" t="e">
        <f>'1.Reel GSYH '!I54/'1.Reel GSYH '!$B54*100</f>
        <v>#DIV/0!</v>
      </c>
      <c r="H57" s="74"/>
      <c r="I57" s="106" t="e">
        <f>'1.Reel GSYH '!K54/'1.Reel GSYH '!$B54*100</f>
        <v>#DIV/0!</v>
      </c>
      <c r="J57" s="98"/>
      <c r="K57" s="53" t="e">
        <f>'1.Reel GSYH '!M54/'1.Reel GSYH '!$B54*100</f>
        <v>#DIV/0!</v>
      </c>
      <c r="L57" s="106" t="e">
        <f>'1.Reel GSYH '!N54/'1.Reel GSYH '!$B54*100</f>
        <v>#DIV/0!</v>
      </c>
      <c r="M57" s="106" t="e">
        <f>'1.Reel GSYH '!O54/'1.Reel GSYH '!$B54*100</f>
        <v>#DIV/0!</v>
      </c>
      <c r="N57" s="106" t="e">
        <f>'1.Reel GSYH '!P54/'1.Reel GSYH '!$B54*100</f>
        <v>#DIV/0!</v>
      </c>
      <c r="O57" s="106" t="e">
        <f>'1.Reel GSYH '!Q54/'1.Reel GSYH '!$B54*100</f>
        <v>#DIV/0!</v>
      </c>
      <c r="P57" s="106" t="e">
        <f>'1.Reel GSYH '!R54/'1.Reel GSYH '!$B54*100</f>
        <v>#DIV/0!</v>
      </c>
      <c r="Q57" s="107" t="e">
        <f>'1.Reel GSYH '!S54/'1.Reel GSYH '!$B54*100</f>
        <v>#DIV/0!</v>
      </c>
      <c r="R57" s="98"/>
      <c r="S57" s="106" t="e">
        <f>'1.Reel GSYH '!U54/'1.Reel GSYH '!$B54*100</f>
        <v>#DIV/0!</v>
      </c>
      <c r="T57" s="77"/>
      <c r="U57" s="53" t="e">
        <f>'1.Reel GSYH '!W54/'1.Reel GSYH '!$B54*100</f>
        <v>#DIV/0!</v>
      </c>
      <c r="V57" s="106" t="e">
        <f>'1.Reel GSYH '!X54/'1.Reel GSYH '!$B54*100</f>
        <v>#DIV/0!</v>
      </c>
      <c r="W57" s="106" t="e">
        <f>'1.Reel GSYH '!Y54/'1.Reel GSYH '!$B54*100</f>
        <v>#DIV/0!</v>
      </c>
      <c r="X57" s="108" t="e">
        <f t="shared" si="3"/>
        <v>#DIV/0!</v>
      </c>
    </row>
    <row r="58" spans="1:24" ht="15.75" customHeight="1">
      <c r="A58" s="40" t="s">
        <v>46</v>
      </c>
      <c r="B58" s="103" t="e">
        <f t="shared" si="2"/>
        <v>#DIV/0!</v>
      </c>
      <c r="C58" s="75" t="e">
        <f>'1.Reel GSYH '!E55/'1.Reel GSYH '!B55*100</f>
        <v>#DIV/0!</v>
      </c>
      <c r="D58" s="78" t="e">
        <f>'1.Reel GSYH '!F55/'1.Reel GSYH '!$B55*100</f>
        <v>#DIV/0!</v>
      </c>
      <c r="E58" s="78" t="e">
        <f>'1.Reel GSYH '!G55/'1.Reel GSYH '!$B55*100</f>
        <v>#DIV/0!</v>
      </c>
      <c r="F58" s="78" t="e">
        <f>'1.Reel GSYH '!H55/'1.Reel GSYH '!$B55*100</f>
        <v>#DIV/0!</v>
      </c>
      <c r="G58" s="107" t="e">
        <f>'1.Reel GSYH '!I55/'1.Reel GSYH '!$B55*100</f>
        <v>#DIV/0!</v>
      </c>
      <c r="H58" s="74"/>
      <c r="I58" s="106" t="e">
        <f>'1.Reel GSYH '!K55/'1.Reel GSYH '!$B55*100</f>
        <v>#DIV/0!</v>
      </c>
      <c r="J58" s="98"/>
      <c r="K58" s="53" t="e">
        <f>'1.Reel GSYH '!M55/'1.Reel GSYH '!$B55*100</f>
        <v>#DIV/0!</v>
      </c>
      <c r="L58" s="106" t="e">
        <f>'1.Reel GSYH '!N55/'1.Reel GSYH '!$B55*100</f>
        <v>#DIV/0!</v>
      </c>
      <c r="M58" s="106" t="e">
        <f>'1.Reel GSYH '!O55/'1.Reel GSYH '!$B55*100</f>
        <v>#DIV/0!</v>
      </c>
      <c r="N58" s="106" t="e">
        <f>'1.Reel GSYH '!P55/'1.Reel GSYH '!$B55*100</f>
        <v>#DIV/0!</v>
      </c>
      <c r="O58" s="106" t="e">
        <f>'1.Reel GSYH '!Q55/'1.Reel GSYH '!$B55*100</f>
        <v>#DIV/0!</v>
      </c>
      <c r="P58" s="106" t="e">
        <f>'1.Reel GSYH '!R55/'1.Reel GSYH '!$B55*100</f>
        <v>#DIV/0!</v>
      </c>
      <c r="Q58" s="107" t="e">
        <f>'1.Reel GSYH '!S55/'1.Reel GSYH '!$B55*100</f>
        <v>#DIV/0!</v>
      </c>
      <c r="R58" s="98"/>
      <c r="S58" s="106" t="e">
        <f>'1.Reel GSYH '!U55/'1.Reel GSYH '!$B55*100</f>
        <v>#DIV/0!</v>
      </c>
      <c r="T58" s="77"/>
      <c r="U58" s="53" t="e">
        <f>'1.Reel GSYH '!W55/'1.Reel GSYH '!$B55*100</f>
        <v>#DIV/0!</v>
      </c>
      <c r="V58" s="106" t="e">
        <f>'1.Reel GSYH '!X55/'1.Reel GSYH '!$B55*100</f>
        <v>#DIV/0!</v>
      </c>
      <c r="W58" s="106" t="e">
        <f>'1.Reel GSYH '!Y55/'1.Reel GSYH '!$B55*100</f>
        <v>#DIV/0!</v>
      </c>
      <c r="X58" s="108" t="e">
        <f t="shared" si="3"/>
        <v>#DIV/0!</v>
      </c>
    </row>
    <row r="59" spans="1:24" ht="15.75" customHeight="1">
      <c r="A59" s="40" t="s">
        <v>47</v>
      </c>
      <c r="B59" s="103" t="e">
        <f t="shared" si="2"/>
        <v>#DIV/0!</v>
      </c>
      <c r="C59" s="75" t="e">
        <f>'1.Reel GSYH '!E56/'1.Reel GSYH '!B56*100</f>
        <v>#DIV/0!</v>
      </c>
      <c r="D59" s="78" t="e">
        <f>'1.Reel GSYH '!F56/'1.Reel GSYH '!$B56*100</f>
        <v>#DIV/0!</v>
      </c>
      <c r="E59" s="78" t="e">
        <f>'1.Reel GSYH '!G56/'1.Reel GSYH '!$B56*100</f>
        <v>#DIV/0!</v>
      </c>
      <c r="F59" s="78" t="e">
        <f>'1.Reel GSYH '!H56/'1.Reel GSYH '!$B56*100</f>
        <v>#DIV/0!</v>
      </c>
      <c r="G59" s="107" t="e">
        <f>'1.Reel GSYH '!I56/'1.Reel GSYH '!$B56*100</f>
        <v>#DIV/0!</v>
      </c>
      <c r="H59" s="74"/>
      <c r="I59" s="106" t="e">
        <f>'1.Reel GSYH '!K56/'1.Reel GSYH '!$B56*100</f>
        <v>#DIV/0!</v>
      </c>
      <c r="J59" s="98"/>
      <c r="K59" s="53" t="e">
        <f>'1.Reel GSYH '!M56/'1.Reel GSYH '!$B56*100</f>
        <v>#DIV/0!</v>
      </c>
      <c r="L59" s="106" t="e">
        <f>'1.Reel GSYH '!N56/'1.Reel GSYH '!$B56*100</f>
        <v>#DIV/0!</v>
      </c>
      <c r="M59" s="106" t="e">
        <f>'1.Reel GSYH '!O56/'1.Reel GSYH '!$B56*100</f>
        <v>#DIV/0!</v>
      </c>
      <c r="N59" s="106" t="e">
        <f>'1.Reel GSYH '!P56/'1.Reel GSYH '!$B56*100</f>
        <v>#DIV/0!</v>
      </c>
      <c r="O59" s="106" t="e">
        <f>'1.Reel GSYH '!Q56/'1.Reel GSYH '!$B56*100</f>
        <v>#DIV/0!</v>
      </c>
      <c r="P59" s="106" t="e">
        <f>'1.Reel GSYH '!R56/'1.Reel GSYH '!$B56*100</f>
        <v>#DIV/0!</v>
      </c>
      <c r="Q59" s="107" t="e">
        <f>'1.Reel GSYH '!S56/'1.Reel GSYH '!$B56*100</f>
        <v>#DIV/0!</v>
      </c>
      <c r="R59" s="98"/>
      <c r="S59" s="106" t="e">
        <f>'1.Reel GSYH '!U56/'1.Reel GSYH '!$B56*100</f>
        <v>#DIV/0!</v>
      </c>
      <c r="T59" s="77"/>
      <c r="U59" s="53" t="e">
        <f>'1.Reel GSYH '!W56/'1.Reel GSYH '!$B56*100</f>
        <v>#DIV/0!</v>
      </c>
      <c r="V59" s="106" t="e">
        <f>'1.Reel GSYH '!X56/'1.Reel GSYH '!$B56*100</f>
        <v>#DIV/0!</v>
      </c>
      <c r="W59" s="106" t="e">
        <f>'1.Reel GSYH '!Y56/'1.Reel GSYH '!$B56*100</f>
        <v>#DIV/0!</v>
      </c>
      <c r="X59" s="108" t="e">
        <f t="shared" si="3"/>
        <v>#DIV/0!</v>
      </c>
    </row>
    <row r="60" spans="1:24" ht="15.75" customHeight="1">
      <c r="A60" s="40" t="s">
        <v>48</v>
      </c>
      <c r="B60" s="103" t="e">
        <f t="shared" si="2"/>
        <v>#DIV/0!</v>
      </c>
      <c r="C60" s="75" t="e">
        <f>'1.Reel GSYH '!E57/'1.Reel GSYH '!B57*100</f>
        <v>#DIV/0!</v>
      </c>
      <c r="D60" s="78" t="e">
        <f>'1.Reel GSYH '!F57/'1.Reel GSYH '!$B57*100</f>
        <v>#DIV/0!</v>
      </c>
      <c r="E60" s="78" t="e">
        <f>'1.Reel GSYH '!G57/'1.Reel GSYH '!$B57*100</f>
        <v>#DIV/0!</v>
      </c>
      <c r="F60" s="78" t="e">
        <f>'1.Reel GSYH '!H57/'1.Reel GSYH '!$B57*100</f>
        <v>#DIV/0!</v>
      </c>
      <c r="G60" s="107" t="e">
        <f>'1.Reel GSYH '!I57/'1.Reel GSYH '!$B57*100</f>
        <v>#DIV/0!</v>
      </c>
      <c r="H60" s="74"/>
      <c r="I60" s="106" t="e">
        <f>'1.Reel GSYH '!K57/'1.Reel GSYH '!$B57*100</f>
        <v>#DIV/0!</v>
      </c>
      <c r="J60" s="98"/>
      <c r="K60" s="53" t="e">
        <f>'1.Reel GSYH '!M57/'1.Reel GSYH '!$B57*100</f>
        <v>#DIV/0!</v>
      </c>
      <c r="L60" s="106" t="e">
        <f>'1.Reel GSYH '!N57/'1.Reel GSYH '!$B57*100</f>
        <v>#DIV/0!</v>
      </c>
      <c r="M60" s="106" t="e">
        <f>'1.Reel GSYH '!O57/'1.Reel GSYH '!$B57*100</f>
        <v>#DIV/0!</v>
      </c>
      <c r="N60" s="106" t="e">
        <f>'1.Reel GSYH '!P57/'1.Reel GSYH '!$B57*100</f>
        <v>#DIV/0!</v>
      </c>
      <c r="O60" s="106" t="e">
        <f>'1.Reel GSYH '!Q57/'1.Reel GSYH '!$B57*100</f>
        <v>#DIV/0!</v>
      </c>
      <c r="P60" s="106" t="e">
        <f>'1.Reel GSYH '!R57/'1.Reel GSYH '!$B57*100</f>
        <v>#DIV/0!</v>
      </c>
      <c r="Q60" s="107" t="e">
        <f>'1.Reel GSYH '!S57/'1.Reel GSYH '!$B57*100</f>
        <v>#DIV/0!</v>
      </c>
      <c r="R60" s="98"/>
      <c r="S60" s="106" t="e">
        <f>'1.Reel GSYH '!U57/'1.Reel GSYH '!$B57*100</f>
        <v>#DIV/0!</v>
      </c>
      <c r="T60" s="77"/>
      <c r="U60" s="53" t="e">
        <f>'1.Reel GSYH '!W57/'1.Reel GSYH '!$B57*100</f>
        <v>#DIV/0!</v>
      </c>
      <c r="V60" s="106" t="e">
        <f>'1.Reel GSYH '!X57/'1.Reel GSYH '!$B57*100</f>
        <v>#DIV/0!</v>
      </c>
      <c r="W60" s="106" t="e">
        <f>'1.Reel GSYH '!Y57/'1.Reel GSYH '!$B57*100</f>
        <v>#DIV/0!</v>
      </c>
      <c r="X60" s="108" t="e">
        <f t="shared" si="3"/>
        <v>#DIV/0!</v>
      </c>
    </row>
    <row r="61" spans="1:24" ht="15.75" customHeight="1">
      <c r="A61" s="40" t="s">
        <v>49</v>
      </c>
      <c r="B61" s="103" t="e">
        <f t="shared" si="2"/>
        <v>#DIV/0!</v>
      </c>
      <c r="C61" s="75" t="e">
        <f>'1.Reel GSYH '!E58/'1.Reel GSYH '!B58*100</f>
        <v>#DIV/0!</v>
      </c>
      <c r="D61" s="78" t="e">
        <f>'1.Reel GSYH '!F58/'1.Reel GSYH '!$B58*100</f>
        <v>#DIV/0!</v>
      </c>
      <c r="E61" s="78" t="e">
        <f>'1.Reel GSYH '!G58/'1.Reel GSYH '!$B58*100</f>
        <v>#DIV/0!</v>
      </c>
      <c r="F61" s="78" t="e">
        <f>'1.Reel GSYH '!H58/'1.Reel GSYH '!$B58*100</f>
        <v>#DIV/0!</v>
      </c>
      <c r="G61" s="107" t="e">
        <f>'1.Reel GSYH '!I58/'1.Reel GSYH '!$B58*100</f>
        <v>#DIV/0!</v>
      </c>
      <c r="H61" s="74"/>
      <c r="I61" s="106" t="e">
        <f>'1.Reel GSYH '!K58/'1.Reel GSYH '!$B58*100</f>
        <v>#DIV/0!</v>
      </c>
      <c r="J61" s="98"/>
      <c r="K61" s="53" t="e">
        <f>'1.Reel GSYH '!M58/'1.Reel GSYH '!$B58*100</f>
        <v>#DIV/0!</v>
      </c>
      <c r="L61" s="106" t="e">
        <f>'1.Reel GSYH '!N58/'1.Reel GSYH '!$B58*100</f>
        <v>#DIV/0!</v>
      </c>
      <c r="M61" s="106" t="e">
        <f>'1.Reel GSYH '!O58/'1.Reel GSYH '!$B58*100</f>
        <v>#DIV/0!</v>
      </c>
      <c r="N61" s="106" t="e">
        <f>'1.Reel GSYH '!P58/'1.Reel GSYH '!$B58*100</f>
        <v>#DIV/0!</v>
      </c>
      <c r="O61" s="106" t="e">
        <f>'1.Reel GSYH '!Q58/'1.Reel GSYH '!$B58*100</f>
        <v>#DIV/0!</v>
      </c>
      <c r="P61" s="106" t="e">
        <f>'1.Reel GSYH '!R58/'1.Reel GSYH '!$B58*100</f>
        <v>#DIV/0!</v>
      </c>
      <c r="Q61" s="107" t="e">
        <f>'1.Reel GSYH '!S58/'1.Reel GSYH '!$B58*100</f>
        <v>#DIV/0!</v>
      </c>
      <c r="R61" s="98"/>
      <c r="S61" s="106" t="e">
        <f>'1.Reel GSYH '!U58/'1.Reel GSYH '!$B58*100</f>
        <v>#DIV/0!</v>
      </c>
      <c r="T61" s="77"/>
      <c r="U61" s="53" t="e">
        <f>'1.Reel GSYH '!W58/'1.Reel GSYH '!$B58*100</f>
        <v>#DIV/0!</v>
      </c>
      <c r="V61" s="106" t="e">
        <f>'1.Reel GSYH '!X58/'1.Reel GSYH '!$B58*100</f>
        <v>#DIV/0!</v>
      </c>
      <c r="W61" s="106" t="e">
        <f>'1.Reel GSYH '!Y58/'1.Reel GSYH '!$B58*100</f>
        <v>#DIV/0!</v>
      </c>
      <c r="X61" s="108" t="e">
        <f t="shared" si="3"/>
        <v>#DIV/0!</v>
      </c>
    </row>
    <row r="62" spans="1:24" ht="15.75" customHeight="1">
      <c r="A62" s="40" t="s">
        <v>50</v>
      </c>
      <c r="B62" s="103" t="e">
        <f t="shared" si="2"/>
        <v>#DIV/0!</v>
      </c>
      <c r="C62" s="75" t="e">
        <f>'1.Reel GSYH '!E59/'1.Reel GSYH '!B59*100</f>
        <v>#DIV/0!</v>
      </c>
      <c r="D62" s="78" t="e">
        <f>'1.Reel GSYH '!F59/'1.Reel GSYH '!$B59*100</f>
        <v>#DIV/0!</v>
      </c>
      <c r="E62" s="78" t="e">
        <f>'1.Reel GSYH '!G59/'1.Reel GSYH '!$B59*100</f>
        <v>#DIV/0!</v>
      </c>
      <c r="F62" s="78" t="e">
        <f>'1.Reel GSYH '!H59/'1.Reel GSYH '!$B59*100</f>
        <v>#DIV/0!</v>
      </c>
      <c r="G62" s="107" t="e">
        <f>'1.Reel GSYH '!I59/'1.Reel GSYH '!$B59*100</f>
        <v>#DIV/0!</v>
      </c>
      <c r="H62" s="74"/>
      <c r="I62" s="106" t="e">
        <f>'1.Reel GSYH '!K59/'1.Reel GSYH '!$B59*100</f>
        <v>#DIV/0!</v>
      </c>
      <c r="J62" s="98"/>
      <c r="K62" s="53" t="e">
        <f>'1.Reel GSYH '!M59/'1.Reel GSYH '!$B59*100</f>
        <v>#DIV/0!</v>
      </c>
      <c r="L62" s="106" t="e">
        <f>'1.Reel GSYH '!N59/'1.Reel GSYH '!$B59*100</f>
        <v>#DIV/0!</v>
      </c>
      <c r="M62" s="106" t="e">
        <f>'1.Reel GSYH '!O59/'1.Reel GSYH '!$B59*100</f>
        <v>#DIV/0!</v>
      </c>
      <c r="N62" s="106" t="e">
        <f>'1.Reel GSYH '!P59/'1.Reel GSYH '!$B59*100</f>
        <v>#DIV/0!</v>
      </c>
      <c r="O62" s="106" t="e">
        <f>'1.Reel GSYH '!Q59/'1.Reel GSYH '!$B59*100</f>
        <v>#DIV/0!</v>
      </c>
      <c r="P62" s="106" t="e">
        <f>'1.Reel GSYH '!R59/'1.Reel GSYH '!$B59*100</f>
        <v>#DIV/0!</v>
      </c>
      <c r="Q62" s="107" t="e">
        <f>'1.Reel GSYH '!S59/'1.Reel GSYH '!$B59*100</f>
        <v>#DIV/0!</v>
      </c>
      <c r="R62" s="98"/>
      <c r="S62" s="106" t="e">
        <f>'1.Reel GSYH '!U59/'1.Reel GSYH '!$B59*100</f>
        <v>#DIV/0!</v>
      </c>
      <c r="T62" s="77"/>
      <c r="U62" s="53" t="e">
        <f>'1.Reel GSYH '!W59/'1.Reel GSYH '!$B59*100</f>
        <v>#DIV/0!</v>
      </c>
      <c r="V62" s="106" t="e">
        <f>'1.Reel GSYH '!X59/'1.Reel GSYH '!$B59*100</f>
        <v>#DIV/0!</v>
      </c>
      <c r="W62" s="106" t="e">
        <f>'1.Reel GSYH '!Y59/'1.Reel GSYH '!$B59*100</f>
        <v>#DIV/0!</v>
      </c>
      <c r="X62" s="108" t="e">
        <f t="shared" si="3"/>
        <v>#DIV/0!</v>
      </c>
    </row>
    <row r="63" spans="1:24" ht="15.75" customHeight="1">
      <c r="A63" s="40" t="s">
        <v>51</v>
      </c>
      <c r="B63" s="103" t="e">
        <f t="shared" si="2"/>
        <v>#DIV/0!</v>
      </c>
      <c r="C63" s="75" t="e">
        <f>'1.Reel GSYH '!E60/'1.Reel GSYH '!B60*100</f>
        <v>#DIV/0!</v>
      </c>
      <c r="D63" s="78" t="e">
        <f>'1.Reel GSYH '!F60/'1.Reel GSYH '!$B60*100</f>
        <v>#DIV/0!</v>
      </c>
      <c r="E63" s="78" t="e">
        <f>'1.Reel GSYH '!G60/'1.Reel GSYH '!$B60*100</f>
        <v>#DIV/0!</v>
      </c>
      <c r="F63" s="78" t="e">
        <f>'1.Reel GSYH '!H60/'1.Reel GSYH '!$B60*100</f>
        <v>#DIV/0!</v>
      </c>
      <c r="G63" s="107" t="e">
        <f>'1.Reel GSYH '!I60/'1.Reel GSYH '!$B60*100</f>
        <v>#DIV/0!</v>
      </c>
      <c r="H63" s="74"/>
      <c r="I63" s="106" t="e">
        <f>'1.Reel GSYH '!K60/'1.Reel GSYH '!$B60*100</f>
        <v>#DIV/0!</v>
      </c>
      <c r="J63" s="98"/>
      <c r="K63" s="53" t="e">
        <f>'1.Reel GSYH '!M60/'1.Reel GSYH '!$B60*100</f>
        <v>#DIV/0!</v>
      </c>
      <c r="L63" s="106" t="e">
        <f>'1.Reel GSYH '!N60/'1.Reel GSYH '!$B60*100</f>
        <v>#DIV/0!</v>
      </c>
      <c r="M63" s="106" t="e">
        <f>'1.Reel GSYH '!O60/'1.Reel GSYH '!$B60*100</f>
        <v>#DIV/0!</v>
      </c>
      <c r="N63" s="106" t="e">
        <f>'1.Reel GSYH '!P60/'1.Reel GSYH '!$B60*100</f>
        <v>#DIV/0!</v>
      </c>
      <c r="O63" s="106" t="e">
        <f>'1.Reel GSYH '!Q60/'1.Reel GSYH '!$B60*100</f>
        <v>#DIV/0!</v>
      </c>
      <c r="P63" s="106" t="e">
        <f>'1.Reel GSYH '!R60/'1.Reel GSYH '!$B60*100</f>
        <v>#DIV/0!</v>
      </c>
      <c r="Q63" s="107" t="e">
        <f>'1.Reel GSYH '!S60/'1.Reel GSYH '!$B60*100</f>
        <v>#DIV/0!</v>
      </c>
      <c r="R63" s="98"/>
      <c r="S63" s="106" t="e">
        <f>'1.Reel GSYH '!U60/'1.Reel GSYH '!$B60*100</f>
        <v>#DIV/0!</v>
      </c>
      <c r="T63" s="77"/>
      <c r="U63" s="53" t="e">
        <f>'1.Reel GSYH '!W60/'1.Reel GSYH '!$B60*100</f>
        <v>#DIV/0!</v>
      </c>
      <c r="V63" s="106" t="e">
        <f>'1.Reel GSYH '!X60/'1.Reel GSYH '!$B60*100</f>
        <v>#DIV/0!</v>
      </c>
      <c r="W63" s="106" t="e">
        <f>'1.Reel GSYH '!Y60/'1.Reel GSYH '!$B60*100</f>
        <v>#DIV/0!</v>
      </c>
      <c r="X63" s="108" t="e">
        <f t="shared" si="3"/>
        <v>#DIV/0!</v>
      </c>
    </row>
    <row r="64" spans="1:24" ht="15.75" customHeight="1">
      <c r="A64" s="40" t="s">
        <v>52</v>
      </c>
      <c r="B64" s="103" t="e">
        <f t="shared" si="2"/>
        <v>#DIV/0!</v>
      </c>
      <c r="C64" s="75" t="e">
        <f>'1.Reel GSYH '!E61/'1.Reel GSYH '!B61*100</f>
        <v>#DIV/0!</v>
      </c>
      <c r="D64" s="78" t="e">
        <f>'1.Reel GSYH '!F61/'1.Reel GSYH '!$B61*100</f>
        <v>#DIV/0!</v>
      </c>
      <c r="E64" s="78" t="e">
        <f>'1.Reel GSYH '!G61/'1.Reel GSYH '!$B61*100</f>
        <v>#DIV/0!</v>
      </c>
      <c r="F64" s="78" t="e">
        <f>'1.Reel GSYH '!H61/'1.Reel GSYH '!$B61*100</f>
        <v>#DIV/0!</v>
      </c>
      <c r="G64" s="107" t="e">
        <f>'1.Reel GSYH '!I61/'1.Reel GSYH '!$B61*100</f>
        <v>#DIV/0!</v>
      </c>
      <c r="H64" s="74"/>
      <c r="I64" s="106" t="e">
        <f>'1.Reel GSYH '!K61/'1.Reel GSYH '!$B61*100</f>
        <v>#DIV/0!</v>
      </c>
      <c r="J64" s="98"/>
      <c r="K64" s="53" t="e">
        <f>'1.Reel GSYH '!M61/'1.Reel GSYH '!$B61*100</f>
        <v>#DIV/0!</v>
      </c>
      <c r="L64" s="106" t="e">
        <f>'1.Reel GSYH '!N61/'1.Reel GSYH '!$B61*100</f>
        <v>#DIV/0!</v>
      </c>
      <c r="M64" s="106" t="e">
        <f>'1.Reel GSYH '!O61/'1.Reel GSYH '!$B61*100</f>
        <v>#DIV/0!</v>
      </c>
      <c r="N64" s="106" t="e">
        <f>'1.Reel GSYH '!P61/'1.Reel GSYH '!$B61*100</f>
        <v>#DIV/0!</v>
      </c>
      <c r="O64" s="106" t="e">
        <f>'1.Reel GSYH '!Q61/'1.Reel GSYH '!$B61*100</f>
        <v>#DIV/0!</v>
      </c>
      <c r="P64" s="106" t="e">
        <f>'1.Reel GSYH '!R61/'1.Reel GSYH '!$B61*100</f>
        <v>#DIV/0!</v>
      </c>
      <c r="Q64" s="107" t="e">
        <f>'1.Reel GSYH '!S61/'1.Reel GSYH '!$B61*100</f>
        <v>#DIV/0!</v>
      </c>
      <c r="R64" s="98"/>
      <c r="S64" s="106" t="e">
        <f>'1.Reel GSYH '!U61/'1.Reel GSYH '!$B61*100</f>
        <v>#DIV/0!</v>
      </c>
      <c r="T64" s="77"/>
      <c r="U64" s="53" t="e">
        <f>'1.Reel GSYH '!W61/'1.Reel GSYH '!$B61*100</f>
        <v>#DIV/0!</v>
      </c>
      <c r="V64" s="106" t="e">
        <f>'1.Reel GSYH '!X61/'1.Reel GSYH '!$B61*100</f>
        <v>#DIV/0!</v>
      </c>
      <c r="W64" s="106" t="e">
        <f>'1.Reel GSYH '!Y61/'1.Reel GSYH '!$B61*100</f>
        <v>#DIV/0!</v>
      </c>
      <c r="X64" s="108" t="e">
        <f t="shared" si="3"/>
        <v>#DIV/0!</v>
      </c>
    </row>
    <row r="65" spans="1:24" ht="15.75" customHeight="1">
      <c r="A65" s="40" t="s">
        <v>53</v>
      </c>
      <c r="B65" s="103" t="e">
        <f t="shared" si="2"/>
        <v>#DIV/0!</v>
      </c>
      <c r="C65" s="75" t="e">
        <f>'1.Reel GSYH '!E62/'1.Reel GSYH '!B62*100</f>
        <v>#DIV/0!</v>
      </c>
      <c r="D65" s="78" t="e">
        <f>'1.Reel GSYH '!F62/'1.Reel GSYH '!$B62*100</f>
        <v>#DIV/0!</v>
      </c>
      <c r="E65" s="78" t="e">
        <f>'1.Reel GSYH '!G62/'1.Reel GSYH '!$B62*100</f>
        <v>#DIV/0!</v>
      </c>
      <c r="F65" s="78" t="e">
        <f>'1.Reel GSYH '!H62/'1.Reel GSYH '!$B62*100</f>
        <v>#DIV/0!</v>
      </c>
      <c r="G65" s="107" t="e">
        <f>'1.Reel GSYH '!I62/'1.Reel GSYH '!$B62*100</f>
        <v>#DIV/0!</v>
      </c>
      <c r="H65" s="74"/>
      <c r="I65" s="106" t="e">
        <f>'1.Reel GSYH '!K62/'1.Reel GSYH '!$B62*100</f>
        <v>#DIV/0!</v>
      </c>
      <c r="J65" s="98"/>
      <c r="K65" s="53" t="e">
        <f>'1.Reel GSYH '!M62/'1.Reel GSYH '!$B62*100</f>
        <v>#DIV/0!</v>
      </c>
      <c r="L65" s="106" t="e">
        <f>'1.Reel GSYH '!N62/'1.Reel GSYH '!$B62*100</f>
        <v>#DIV/0!</v>
      </c>
      <c r="M65" s="106" t="e">
        <f>'1.Reel GSYH '!O62/'1.Reel GSYH '!$B62*100</f>
        <v>#DIV/0!</v>
      </c>
      <c r="N65" s="106" t="e">
        <f>'1.Reel GSYH '!P62/'1.Reel GSYH '!$B62*100</f>
        <v>#DIV/0!</v>
      </c>
      <c r="O65" s="106" t="e">
        <f>'1.Reel GSYH '!Q62/'1.Reel GSYH '!$B62*100</f>
        <v>#DIV/0!</v>
      </c>
      <c r="P65" s="106" t="e">
        <f>'1.Reel GSYH '!R62/'1.Reel GSYH '!$B62*100</f>
        <v>#DIV/0!</v>
      </c>
      <c r="Q65" s="107" t="e">
        <f>'1.Reel GSYH '!S62/'1.Reel GSYH '!$B62*100</f>
        <v>#DIV/0!</v>
      </c>
      <c r="R65" s="98"/>
      <c r="S65" s="106" t="e">
        <f>'1.Reel GSYH '!U62/'1.Reel GSYH '!$B62*100</f>
        <v>#DIV/0!</v>
      </c>
      <c r="T65" s="77"/>
      <c r="U65" s="53" t="e">
        <f>'1.Reel GSYH '!W62/'1.Reel GSYH '!$B62*100</f>
        <v>#DIV/0!</v>
      </c>
      <c r="V65" s="106" t="e">
        <f>'1.Reel GSYH '!X62/'1.Reel GSYH '!$B62*100</f>
        <v>#DIV/0!</v>
      </c>
      <c r="W65" s="106" t="e">
        <f>'1.Reel GSYH '!Y62/'1.Reel GSYH '!$B62*100</f>
        <v>#DIV/0!</v>
      </c>
      <c r="X65" s="108" t="e">
        <f t="shared" si="3"/>
        <v>#DIV/0!</v>
      </c>
    </row>
    <row r="66" spans="1:24" ht="15.75" customHeight="1">
      <c r="A66" s="40" t="s">
        <v>54</v>
      </c>
      <c r="B66" s="103" t="e">
        <f t="shared" si="2"/>
        <v>#DIV/0!</v>
      </c>
      <c r="C66" s="75" t="e">
        <f>'1.Reel GSYH '!E63/'1.Reel GSYH '!B63*100</f>
        <v>#DIV/0!</v>
      </c>
      <c r="D66" s="78" t="e">
        <f>'1.Reel GSYH '!F63/'1.Reel GSYH '!$B63*100</f>
        <v>#DIV/0!</v>
      </c>
      <c r="E66" s="78" t="e">
        <f>'1.Reel GSYH '!G63/'1.Reel GSYH '!$B63*100</f>
        <v>#DIV/0!</v>
      </c>
      <c r="F66" s="78" t="e">
        <f>'1.Reel GSYH '!H63/'1.Reel GSYH '!$B63*100</f>
        <v>#DIV/0!</v>
      </c>
      <c r="G66" s="107" t="e">
        <f>'1.Reel GSYH '!I63/'1.Reel GSYH '!$B63*100</f>
        <v>#DIV/0!</v>
      </c>
      <c r="H66" s="74"/>
      <c r="I66" s="106" t="e">
        <f>'1.Reel GSYH '!K63/'1.Reel GSYH '!$B63*100</f>
        <v>#DIV/0!</v>
      </c>
      <c r="J66" s="98"/>
      <c r="K66" s="53" t="e">
        <f>'1.Reel GSYH '!M63/'1.Reel GSYH '!$B63*100</f>
        <v>#DIV/0!</v>
      </c>
      <c r="L66" s="106" t="e">
        <f>'1.Reel GSYH '!N63/'1.Reel GSYH '!$B63*100</f>
        <v>#DIV/0!</v>
      </c>
      <c r="M66" s="106" t="e">
        <f>'1.Reel GSYH '!O63/'1.Reel GSYH '!$B63*100</f>
        <v>#DIV/0!</v>
      </c>
      <c r="N66" s="106" t="e">
        <f>'1.Reel GSYH '!P63/'1.Reel GSYH '!$B63*100</f>
        <v>#DIV/0!</v>
      </c>
      <c r="O66" s="106" t="e">
        <f>'1.Reel GSYH '!Q63/'1.Reel GSYH '!$B63*100</f>
        <v>#DIV/0!</v>
      </c>
      <c r="P66" s="106" t="e">
        <f>'1.Reel GSYH '!R63/'1.Reel GSYH '!$B63*100</f>
        <v>#DIV/0!</v>
      </c>
      <c r="Q66" s="107" t="e">
        <f>'1.Reel GSYH '!S63/'1.Reel GSYH '!$B63*100</f>
        <v>#DIV/0!</v>
      </c>
      <c r="R66" s="98"/>
      <c r="S66" s="106" t="e">
        <f>'1.Reel GSYH '!U63/'1.Reel GSYH '!$B63*100</f>
        <v>#DIV/0!</v>
      </c>
      <c r="T66" s="77"/>
      <c r="U66" s="53" t="e">
        <f>'1.Reel GSYH '!W63/'1.Reel GSYH '!$B63*100</f>
        <v>#DIV/0!</v>
      </c>
      <c r="V66" s="106" t="e">
        <f>'1.Reel GSYH '!X63/'1.Reel GSYH '!$B63*100</f>
        <v>#DIV/0!</v>
      </c>
      <c r="W66" s="106" t="e">
        <f>'1.Reel GSYH '!Y63/'1.Reel GSYH '!$B63*100</f>
        <v>#DIV/0!</v>
      </c>
      <c r="X66" s="108" t="e">
        <f t="shared" si="3"/>
        <v>#DIV/0!</v>
      </c>
    </row>
    <row r="67" spans="1:24" ht="15.75" customHeight="1">
      <c r="A67" s="40" t="s">
        <v>55</v>
      </c>
      <c r="B67" s="103" t="e">
        <f t="shared" si="2"/>
        <v>#DIV/0!</v>
      </c>
      <c r="C67" s="75" t="e">
        <f>'1.Reel GSYH '!E64/'1.Reel GSYH '!B64*100</f>
        <v>#DIV/0!</v>
      </c>
      <c r="D67" s="78" t="e">
        <f>'1.Reel GSYH '!F64/'1.Reel GSYH '!$B64*100</f>
        <v>#DIV/0!</v>
      </c>
      <c r="E67" s="78" t="e">
        <f>'1.Reel GSYH '!G64/'1.Reel GSYH '!$B64*100</f>
        <v>#DIV/0!</v>
      </c>
      <c r="F67" s="78" t="e">
        <f>'1.Reel GSYH '!H64/'1.Reel GSYH '!$B64*100</f>
        <v>#DIV/0!</v>
      </c>
      <c r="G67" s="107" t="e">
        <f>'1.Reel GSYH '!I64/'1.Reel GSYH '!$B64*100</f>
        <v>#DIV/0!</v>
      </c>
      <c r="H67" s="74"/>
      <c r="I67" s="106" t="e">
        <f>'1.Reel GSYH '!K64/'1.Reel GSYH '!$B64*100</f>
        <v>#DIV/0!</v>
      </c>
      <c r="J67" s="98"/>
      <c r="K67" s="53" t="e">
        <f>'1.Reel GSYH '!M64/'1.Reel GSYH '!$B64*100</f>
        <v>#DIV/0!</v>
      </c>
      <c r="L67" s="106" t="e">
        <f>'1.Reel GSYH '!N64/'1.Reel GSYH '!$B64*100</f>
        <v>#DIV/0!</v>
      </c>
      <c r="M67" s="106" t="e">
        <f>'1.Reel GSYH '!O64/'1.Reel GSYH '!$B64*100</f>
        <v>#DIV/0!</v>
      </c>
      <c r="N67" s="106" t="e">
        <f>'1.Reel GSYH '!P64/'1.Reel GSYH '!$B64*100</f>
        <v>#DIV/0!</v>
      </c>
      <c r="O67" s="106" t="e">
        <f>'1.Reel GSYH '!Q64/'1.Reel GSYH '!$B64*100</f>
        <v>#DIV/0!</v>
      </c>
      <c r="P67" s="106" t="e">
        <f>'1.Reel GSYH '!R64/'1.Reel GSYH '!$B64*100</f>
        <v>#DIV/0!</v>
      </c>
      <c r="Q67" s="107" t="e">
        <f>'1.Reel GSYH '!S64/'1.Reel GSYH '!$B64*100</f>
        <v>#DIV/0!</v>
      </c>
      <c r="R67" s="98"/>
      <c r="S67" s="106" t="e">
        <f>'1.Reel GSYH '!U64/'1.Reel GSYH '!$B64*100</f>
        <v>#DIV/0!</v>
      </c>
      <c r="T67" s="77"/>
      <c r="U67" s="53" t="e">
        <f>'1.Reel GSYH '!W64/'1.Reel GSYH '!$B64*100</f>
        <v>#DIV/0!</v>
      </c>
      <c r="V67" s="106" t="e">
        <f>'1.Reel GSYH '!X64/'1.Reel GSYH '!$B64*100</f>
        <v>#DIV/0!</v>
      </c>
      <c r="W67" s="106" t="e">
        <f>'1.Reel GSYH '!Y64/'1.Reel GSYH '!$B64*100</f>
        <v>#DIV/0!</v>
      </c>
      <c r="X67" s="108" t="e">
        <f t="shared" si="3"/>
        <v>#DIV/0!</v>
      </c>
    </row>
    <row r="68" spans="1:24" ht="15.75" customHeight="1">
      <c r="A68" s="40" t="s">
        <v>56</v>
      </c>
      <c r="B68" s="103" t="e">
        <f t="shared" si="2"/>
        <v>#DIV/0!</v>
      </c>
      <c r="C68" s="75" t="e">
        <f>'1.Reel GSYH '!E65/'1.Reel GSYH '!B65*100</f>
        <v>#DIV/0!</v>
      </c>
      <c r="D68" s="78" t="e">
        <f>'1.Reel GSYH '!F65/'1.Reel GSYH '!$B65*100</f>
        <v>#DIV/0!</v>
      </c>
      <c r="E68" s="78" t="e">
        <f>'1.Reel GSYH '!G65/'1.Reel GSYH '!$B65*100</f>
        <v>#DIV/0!</v>
      </c>
      <c r="F68" s="78" t="e">
        <f>'1.Reel GSYH '!H65/'1.Reel GSYH '!$B65*100</f>
        <v>#DIV/0!</v>
      </c>
      <c r="G68" s="107" t="e">
        <f>'1.Reel GSYH '!I65/'1.Reel GSYH '!$B65*100</f>
        <v>#DIV/0!</v>
      </c>
      <c r="H68" s="74"/>
      <c r="I68" s="106" t="e">
        <f>'1.Reel GSYH '!K65/'1.Reel GSYH '!$B65*100</f>
        <v>#DIV/0!</v>
      </c>
      <c r="J68" s="98"/>
      <c r="K68" s="53" t="e">
        <f>'1.Reel GSYH '!M65/'1.Reel GSYH '!$B65*100</f>
        <v>#DIV/0!</v>
      </c>
      <c r="L68" s="106" t="e">
        <f>'1.Reel GSYH '!N65/'1.Reel GSYH '!$B65*100</f>
        <v>#DIV/0!</v>
      </c>
      <c r="M68" s="106" t="e">
        <f>'1.Reel GSYH '!O65/'1.Reel GSYH '!$B65*100</f>
        <v>#DIV/0!</v>
      </c>
      <c r="N68" s="106" t="e">
        <f>'1.Reel GSYH '!P65/'1.Reel GSYH '!$B65*100</f>
        <v>#DIV/0!</v>
      </c>
      <c r="O68" s="106" t="e">
        <f>'1.Reel GSYH '!Q65/'1.Reel GSYH '!$B65*100</f>
        <v>#DIV/0!</v>
      </c>
      <c r="P68" s="106" t="e">
        <f>'1.Reel GSYH '!R65/'1.Reel GSYH '!$B65*100</f>
        <v>#DIV/0!</v>
      </c>
      <c r="Q68" s="107" t="e">
        <f>'1.Reel GSYH '!S65/'1.Reel GSYH '!$B65*100</f>
        <v>#DIV/0!</v>
      </c>
      <c r="R68" s="98"/>
      <c r="S68" s="106" t="e">
        <f>'1.Reel GSYH '!U65/'1.Reel GSYH '!$B65*100</f>
        <v>#DIV/0!</v>
      </c>
      <c r="T68" s="77"/>
      <c r="U68" s="53" t="e">
        <f>'1.Reel GSYH '!W65/'1.Reel GSYH '!$B65*100</f>
        <v>#DIV/0!</v>
      </c>
      <c r="V68" s="106" t="e">
        <f>'1.Reel GSYH '!X65/'1.Reel GSYH '!$B65*100</f>
        <v>#DIV/0!</v>
      </c>
      <c r="W68" s="106" t="e">
        <f>'1.Reel GSYH '!Y65/'1.Reel GSYH '!$B65*100</f>
        <v>#DIV/0!</v>
      </c>
      <c r="X68" s="108" t="e">
        <f t="shared" si="3"/>
        <v>#DIV/0!</v>
      </c>
    </row>
    <row r="69" spans="1:24" ht="15.75" customHeight="1">
      <c r="A69" s="40" t="s">
        <v>57</v>
      </c>
      <c r="B69" s="103" t="e">
        <f t="shared" si="2"/>
        <v>#DIV/0!</v>
      </c>
      <c r="C69" s="75" t="e">
        <f>'1.Reel GSYH '!E66/'1.Reel GSYH '!B66*100</f>
        <v>#DIV/0!</v>
      </c>
      <c r="D69" s="78" t="e">
        <f>'1.Reel GSYH '!F66/'1.Reel GSYH '!$B66*100</f>
        <v>#DIV/0!</v>
      </c>
      <c r="E69" s="78" t="e">
        <f>'1.Reel GSYH '!G66/'1.Reel GSYH '!$B66*100</f>
        <v>#DIV/0!</v>
      </c>
      <c r="F69" s="78" t="e">
        <f>'1.Reel GSYH '!H66/'1.Reel GSYH '!$B66*100</f>
        <v>#DIV/0!</v>
      </c>
      <c r="G69" s="107" t="e">
        <f>'1.Reel GSYH '!I66/'1.Reel GSYH '!$B66*100</f>
        <v>#DIV/0!</v>
      </c>
      <c r="H69" s="74"/>
      <c r="I69" s="106" t="e">
        <f>'1.Reel GSYH '!K66/'1.Reel GSYH '!$B66*100</f>
        <v>#DIV/0!</v>
      </c>
      <c r="J69" s="98"/>
      <c r="K69" s="53" t="e">
        <f>'1.Reel GSYH '!M66/'1.Reel GSYH '!$B66*100</f>
        <v>#DIV/0!</v>
      </c>
      <c r="L69" s="106" t="e">
        <f>'1.Reel GSYH '!N66/'1.Reel GSYH '!$B66*100</f>
        <v>#DIV/0!</v>
      </c>
      <c r="M69" s="106" t="e">
        <f>'1.Reel GSYH '!O66/'1.Reel GSYH '!$B66*100</f>
        <v>#DIV/0!</v>
      </c>
      <c r="N69" s="106" t="e">
        <f>'1.Reel GSYH '!P66/'1.Reel GSYH '!$B66*100</f>
        <v>#DIV/0!</v>
      </c>
      <c r="O69" s="106" t="e">
        <f>'1.Reel GSYH '!Q66/'1.Reel GSYH '!$B66*100</f>
        <v>#DIV/0!</v>
      </c>
      <c r="P69" s="106" t="e">
        <f>'1.Reel GSYH '!R66/'1.Reel GSYH '!$B66*100</f>
        <v>#DIV/0!</v>
      </c>
      <c r="Q69" s="107" t="e">
        <f>'1.Reel GSYH '!S66/'1.Reel GSYH '!$B66*100</f>
        <v>#DIV/0!</v>
      </c>
      <c r="R69" s="98"/>
      <c r="S69" s="106" t="e">
        <f>'1.Reel GSYH '!U66/'1.Reel GSYH '!$B66*100</f>
        <v>#DIV/0!</v>
      </c>
      <c r="T69" s="77"/>
      <c r="U69" s="53" t="e">
        <f>'1.Reel GSYH '!W66/'1.Reel GSYH '!$B66*100</f>
        <v>#DIV/0!</v>
      </c>
      <c r="V69" s="106" t="e">
        <f>'1.Reel GSYH '!X66/'1.Reel GSYH '!$B66*100</f>
        <v>#DIV/0!</v>
      </c>
      <c r="W69" s="106" t="e">
        <f>'1.Reel GSYH '!Y66/'1.Reel GSYH '!$B66*100</f>
        <v>#DIV/0!</v>
      </c>
      <c r="X69" s="108" t="e">
        <f t="shared" si="3"/>
        <v>#DIV/0!</v>
      </c>
    </row>
    <row r="70" spans="1:24" ht="15.75" customHeight="1">
      <c r="A70" s="40" t="s">
        <v>58</v>
      </c>
      <c r="B70" s="103" t="e">
        <f t="shared" si="2"/>
        <v>#DIV/0!</v>
      </c>
      <c r="C70" s="75" t="e">
        <f>'1.Reel GSYH '!E67/'1.Reel GSYH '!B67*100</f>
        <v>#DIV/0!</v>
      </c>
      <c r="D70" s="78" t="e">
        <f>'1.Reel GSYH '!F67/'1.Reel GSYH '!$B67*100</f>
        <v>#DIV/0!</v>
      </c>
      <c r="E70" s="78" t="e">
        <f>'1.Reel GSYH '!G67/'1.Reel GSYH '!$B67*100</f>
        <v>#DIV/0!</v>
      </c>
      <c r="F70" s="78" t="e">
        <f>'1.Reel GSYH '!H67/'1.Reel GSYH '!$B67*100</f>
        <v>#DIV/0!</v>
      </c>
      <c r="G70" s="107" t="e">
        <f>'1.Reel GSYH '!I67/'1.Reel GSYH '!$B67*100</f>
        <v>#DIV/0!</v>
      </c>
      <c r="H70" s="74"/>
      <c r="I70" s="106" t="e">
        <f>'1.Reel GSYH '!K67/'1.Reel GSYH '!$B67*100</f>
        <v>#DIV/0!</v>
      </c>
      <c r="J70" s="98"/>
      <c r="K70" s="53" t="e">
        <f>'1.Reel GSYH '!M67/'1.Reel GSYH '!$B67*100</f>
        <v>#DIV/0!</v>
      </c>
      <c r="L70" s="106" t="e">
        <f>'1.Reel GSYH '!N67/'1.Reel GSYH '!$B67*100</f>
        <v>#DIV/0!</v>
      </c>
      <c r="M70" s="106" t="e">
        <f>'1.Reel GSYH '!O67/'1.Reel GSYH '!$B67*100</f>
        <v>#DIV/0!</v>
      </c>
      <c r="N70" s="106" t="e">
        <f>'1.Reel GSYH '!P67/'1.Reel GSYH '!$B67*100</f>
        <v>#DIV/0!</v>
      </c>
      <c r="O70" s="106" t="e">
        <f>'1.Reel GSYH '!Q67/'1.Reel GSYH '!$B67*100</f>
        <v>#DIV/0!</v>
      </c>
      <c r="P70" s="106" t="e">
        <f>'1.Reel GSYH '!R67/'1.Reel GSYH '!$B67*100</f>
        <v>#DIV/0!</v>
      </c>
      <c r="Q70" s="107" t="e">
        <f>'1.Reel GSYH '!S67/'1.Reel GSYH '!$B67*100</f>
        <v>#DIV/0!</v>
      </c>
      <c r="R70" s="98"/>
      <c r="S70" s="106" t="e">
        <f>'1.Reel GSYH '!U67/'1.Reel GSYH '!$B67*100</f>
        <v>#DIV/0!</v>
      </c>
      <c r="T70" s="77"/>
      <c r="U70" s="53" t="e">
        <f>'1.Reel GSYH '!W67/'1.Reel GSYH '!$B67*100</f>
        <v>#DIV/0!</v>
      </c>
      <c r="V70" s="106" t="e">
        <f>'1.Reel GSYH '!X67/'1.Reel GSYH '!$B67*100</f>
        <v>#DIV/0!</v>
      </c>
      <c r="W70" s="106" t="e">
        <f>'1.Reel GSYH '!Y67/'1.Reel GSYH '!$B67*100</f>
        <v>#DIV/0!</v>
      </c>
      <c r="X70" s="108" t="e">
        <f t="shared" si="3"/>
        <v>#DIV/0!</v>
      </c>
    </row>
    <row r="71" spans="1:24" ht="15.75" customHeight="1">
      <c r="A71" s="40" t="s">
        <v>59</v>
      </c>
      <c r="B71" s="103" t="e">
        <f t="shared" si="2"/>
        <v>#DIV/0!</v>
      </c>
      <c r="C71" s="75" t="e">
        <f>'1.Reel GSYH '!E68/'1.Reel GSYH '!B68*100</f>
        <v>#DIV/0!</v>
      </c>
      <c r="D71" s="78" t="e">
        <f>'1.Reel GSYH '!F68/'1.Reel GSYH '!$B68*100</f>
        <v>#DIV/0!</v>
      </c>
      <c r="E71" s="78" t="e">
        <f>'1.Reel GSYH '!G68/'1.Reel GSYH '!$B68*100</f>
        <v>#DIV/0!</v>
      </c>
      <c r="F71" s="78" t="e">
        <f>'1.Reel GSYH '!H68/'1.Reel GSYH '!$B68*100</f>
        <v>#DIV/0!</v>
      </c>
      <c r="G71" s="107" t="e">
        <f>'1.Reel GSYH '!I68/'1.Reel GSYH '!$B68*100</f>
        <v>#DIV/0!</v>
      </c>
      <c r="H71" s="74"/>
      <c r="I71" s="106" t="e">
        <f>'1.Reel GSYH '!K68/'1.Reel GSYH '!$B68*100</f>
        <v>#DIV/0!</v>
      </c>
      <c r="J71" s="98"/>
      <c r="K71" s="53" t="e">
        <f>'1.Reel GSYH '!M68/'1.Reel GSYH '!$B68*100</f>
        <v>#DIV/0!</v>
      </c>
      <c r="L71" s="106" t="e">
        <f>'1.Reel GSYH '!N68/'1.Reel GSYH '!$B68*100</f>
        <v>#DIV/0!</v>
      </c>
      <c r="M71" s="106" t="e">
        <f>'1.Reel GSYH '!O68/'1.Reel GSYH '!$B68*100</f>
        <v>#DIV/0!</v>
      </c>
      <c r="N71" s="106" t="e">
        <f>'1.Reel GSYH '!P68/'1.Reel GSYH '!$B68*100</f>
        <v>#DIV/0!</v>
      </c>
      <c r="O71" s="106" t="e">
        <f>'1.Reel GSYH '!Q68/'1.Reel GSYH '!$B68*100</f>
        <v>#DIV/0!</v>
      </c>
      <c r="P71" s="106" t="e">
        <f>'1.Reel GSYH '!R68/'1.Reel GSYH '!$B68*100</f>
        <v>#DIV/0!</v>
      </c>
      <c r="Q71" s="107" t="e">
        <f>'1.Reel GSYH '!S68/'1.Reel GSYH '!$B68*100</f>
        <v>#DIV/0!</v>
      </c>
      <c r="R71" s="98"/>
      <c r="S71" s="106" t="e">
        <f>'1.Reel GSYH '!U68/'1.Reel GSYH '!$B68*100</f>
        <v>#DIV/0!</v>
      </c>
      <c r="T71" s="77"/>
      <c r="U71" s="53" t="e">
        <f>'1.Reel GSYH '!W68/'1.Reel GSYH '!$B68*100</f>
        <v>#DIV/0!</v>
      </c>
      <c r="V71" s="106" t="e">
        <f>'1.Reel GSYH '!X68/'1.Reel GSYH '!$B68*100</f>
        <v>#DIV/0!</v>
      </c>
      <c r="W71" s="106" t="e">
        <f>'1.Reel GSYH '!Y68/'1.Reel GSYH '!$B68*100</f>
        <v>#DIV/0!</v>
      </c>
      <c r="X71" s="108" t="e">
        <f t="shared" si="3"/>
        <v>#DIV/0!</v>
      </c>
    </row>
    <row r="72" spans="1:24" ht="15.75" customHeight="1">
      <c r="A72" s="40" t="s">
        <v>60</v>
      </c>
      <c r="B72" s="103" t="e">
        <f t="shared" si="2"/>
        <v>#DIV/0!</v>
      </c>
      <c r="C72" s="75" t="e">
        <f>'1.Reel GSYH '!E69/'1.Reel GSYH '!B69*100</f>
        <v>#DIV/0!</v>
      </c>
      <c r="D72" s="78" t="e">
        <f>'1.Reel GSYH '!F69/'1.Reel GSYH '!$B69*100</f>
        <v>#DIV/0!</v>
      </c>
      <c r="E72" s="78" t="e">
        <f>'1.Reel GSYH '!G69/'1.Reel GSYH '!$B69*100</f>
        <v>#DIV/0!</v>
      </c>
      <c r="F72" s="78" t="e">
        <f>'1.Reel GSYH '!H69/'1.Reel GSYH '!$B69*100</f>
        <v>#DIV/0!</v>
      </c>
      <c r="G72" s="107" t="e">
        <f>'1.Reel GSYH '!I69/'1.Reel GSYH '!$B69*100</f>
        <v>#DIV/0!</v>
      </c>
      <c r="H72" s="74"/>
      <c r="I72" s="106" t="e">
        <f>'1.Reel GSYH '!K69/'1.Reel GSYH '!$B69*100</f>
        <v>#DIV/0!</v>
      </c>
      <c r="J72" s="98"/>
      <c r="K72" s="53" t="e">
        <f>'1.Reel GSYH '!M69/'1.Reel GSYH '!$B69*100</f>
        <v>#DIV/0!</v>
      </c>
      <c r="L72" s="106" t="e">
        <f>'1.Reel GSYH '!N69/'1.Reel GSYH '!$B69*100</f>
        <v>#DIV/0!</v>
      </c>
      <c r="M72" s="106" t="e">
        <f>'1.Reel GSYH '!O69/'1.Reel GSYH '!$B69*100</f>
        <v>#DIV/0!</v>
      </c>
      <c r="N72" s="106" t="e">
        <f>'1.Reel GSYH '!P69/'1.Reel GSYH '!$B69*100</f>
        <v>#DIV/0!</v>
      </c>
      <c r="O72" s="106" t="e">
        <f>'1.Reel GSYH '!Q69/'1.Reel GSYH '!$B69*100</f>
        <v>#DIV/0!</v>
      </c>
      <c r="P72" s="106" t="e">
        <f>'1.Reel GSYH '!R69/'1.Reel GSYH '!$B69*100</f>
        <v>#DIV/0!</v>
      </c>
      <c r="Q72" s="107" t="e">
        <f>'1.Reel GSYH '!S69/'1.Reel GSYH '!$B69*100</f>
        <v>#DIV/0!</v>
      </c>
      <c r="R72" s="98"/>
      <c r="S72" s="106" t="e">
        <f>'1.Reel GSYH '!U69/'1.Reel GSYH '!$B69*100</f>
        <v>#DIV/0!</v>
      </c>
      <c r="T72" s="77"/>
      <c r="U72" s="53" t="e">
        <f>'1.Reel GSYH '!W69/'1.Reel GSYH '!$B69*100</f>
        <v>#DIV/0!</v>
      </c>
      <c r="V72" s="106" t="e">
        <f>'1.Reel GSYH '!X69/'1.Reel GSYH '!$B69*100</f>
        <v>#DIV/0!</v>
      </c>
      <c r="W72" s="106" t="e">
        <f>'1.Reel GSYH '!Y69/'1.Reel GSYH '!$B69*100</f>
        <v>#DIV/0!</v>
      </c>
      <c r="X72" s="108" t="e">
        <f t="shared" si="3"/>
        <v>#DIV/0!</v>
      </c>
    </row>
    <row r="73" spans="1:24" ht="15.75" customHeight="1">
      <c r="A73" s="40" t="s">
        <v>61</v>
      </c>
      <c r="B73" s="103" t="e">
        <f t="shared" si="2"/>
        <v>#DIV/0!</v>
      </c>
      <c r="C73" s="75" t="e">
        <f>'1.Reel GSYH '!E70/'1.Reel GSYH '!B70*100</f>
        <v>#DIV/0!</v>
      </c>
      <c r="D73" s="78" t="e">
        <f>'1.Reel GSYH '!F70/'1.Reel GSYH '!$B70*100</f>
        <v>#DIV/0!</v>
      </c>
      <c r="E73" s="78" t="e">
        <f>'1.Reel GSYH '!G70/'1.Reel GSYH '!$B70*100</f>
        <v>#DIV/0!</v>
      </c>
      <c r="F73" s="78" t="e">
        <f>'1.Reel GSYH '!H70/'1.Reel GSYH '!$B70*100</f>
        <v>#DIV/0!</v>
      </c>
      <c r="G73" s="107" t="e">
        <f>'1.Reel GSYH '!I70/'1.Reel GSYH '!$B70*100</f>
        <v>#DIV/0!</v>
      </c>
      <c r="H73" s="74"/>
      <c r="I73" s="106" t="e">
        <f>'1.Reel GSYH '!K70/'1.Reel GSYH '!$B70*100</f>
        <v>#DIV/0!</v>
      </c>
      <c r="J73" s="98"/>
      <c r="K73" s="53" t="e">
        <f>'1.Reel GSYH '!M70/'1.Reel GSYH '!$B70*100</f>
        <v>#DIV/0!</v>
      </c>
      <c r="L73" s="106" t="e">
        <f>'1.Reel GSYH '!N70/'1.Reel GSYH '!$B70*100</f>
        <v>#DIV/0!</v>
      </c>
      <c r="M73" s="106" t="e">
        <f>'1.Reel GSYH '!O70/'1.Reel GSYH '!$B70*100</f>
        <v>#DIV/0!</v>
      </c>
      <c r="N73" s="106" t="e">
        <f>'1.Reel GSYH '!P70/'1.Reel GSYH '!$B70*100</f>
        <v>#DIV/0!</v>
      </c>
      <c r="O73" s="106" t="e">
        <f>'1.Reel GSYH '!Q70/'1.Reel GSYH '!$B70*100</f>
        <v>#DIV/0!</v>
      </c>
      <c r="P73" s="106" t="e">
        <f>'1.Reel GSYH '!R70/'1.Reel GSYH '!$B70*100</f>
        <v>#DIV/0!</v>
      </c>
      <c r="Q73" s="107" t="e">
        <f>'1.Reel GSYH '!S70/'1.Reel GSYH '!$B70*100</f>
        <v>#DIV/0!</v>
      </c>
      <c r="R73" s="98"/>
      <c r="S73" s="106" t="e">
        <f>'1.Reel GSYH '!U70/'1.Reel GSYH '!$B70*100</f>
        <v>#DIV/0!</v>
      </c>
      <c r="T73" s="77"/>
      <c r="U73" s="53" t="e">
        <f>'1.Reel GSYH '!W70/'1.Reel GSYH '!$B70*100</f>
        <v>#DIV/0!</v>
      </c>
      <c r="V73" s="106" t="e">
        <f>'1.Reel GSYH '!X70/'1.Reel GSYH '!$B70*100</f>
        <v>#DIV/0!</v>
      </c>
      <c r="W73" s="106" t="e">
        <f>'1.Reel GSYH '!Y70/'1.Reel GSYH '!$B70*100</f>
        <v>#DIV/0!</v>
      </c>
      <c r="X73" s="108" t="e">
        <f t="shared" si="3"/>
        <v>#DIV/0!</v>
      </c>
    </row>
    <row r="74" spans="1:24" ht="15.75" customHeight="1">
      <c r="A74" s="40" t="s">
        <v>62</v>
      </c>
      <c r="B74" s="103" t="e">
        <f t="shared" si="2"/>
        <v>#DIV/0!</v>
      </c>
      <c r="C74" s="75" t="e">
        <f>'1.Reel GSYH '!E71/'1.Reel GSYH '!B71*100</f>
        <v>#DIV/0!</v>
      </c>
      <c r="D74" s="78" t="e">
        <f>'1.Reel GSYH '!F71/'1.Reel GSYH '!$B71*100</f>
        <v>#DIV/0!</v>
      </c>
      <c r="E74" s="78" t="e">
        <f>'1.Reel GSYH '!G71/'1.Reel GSYH '!$B71*100</f>
        <v>#DIV/0!</v>
      </c>
      <c r="F74" s="78" t="e">
        <f>'1.Reel GSYH '!H71/'1.Reel GSYH '!$B71*100</f>
        <v>#DIV/0!</v>
      </c>
      <c r="G74" s="107" t="e">
        <f>'1.Reel GSYH '!I71/'1.Reel GSYH '!$B71*100</f>
        <v>#DIV/0!</v>
      </c>
      <c r="H74" s="74"/>
      <c r="I74" s="106" t="e">
        <f>'1.Reel GSYH '!K71/'1.Reel GSYH '!$B71*100</f>
        <v>#DIV/0!</v>
      </c>
      <c r="J74" s="98"/>
      <c r="K74" s="53" t="e">
        <f>'1.Reel GSYH '!M71/'1.Reel GSYH '!$B71*100</f>
        <v>#DIV/0!</v>
      </c>
      <c r="L74" s="106" t="e">
        <f>'1.Reel GSYH '!N71/'1.Reel GSYH '!$B71*100</f>
        <v>#DIV/0!</v>
      </c>
      <c r="M74" s="106" t="e">
        <f>'1.Reel GSYH '!O71/'1.Reel GSYH '!$B71*100</f>
        <v>#DIV/0!</v>
      </c>
      <c r="N74" s="106" t="e">
        <f>'1.Reel GSYH '!P71/'1.Reel GSYH '!$B71*100</f>
        <v>#DIV/0!</v>
      </c>
      <c r="O74" s="106" t="e">
        <f>'1.Reel GSYH '!Q71/'1.Reel GSYH '!$B71*100</f>
        <v>#DIV/0!</v>
      </c>
      <c r="P74" s="106" t="e">
        <f>'1.Reel GSYH '!R71/'1.Reel GSYH '!$B71*100</f>
        <v>#DIV/0!</v>
      </c>
      <c r="Q74" s="107" t="e">
        <f>'1.Reel GSYH '!S71/'1.Reel GSYH '!$B71*100</f>
        <v>#DIV/0!</v>
      </c>
      <c r="R74" s="98"/>
      <c r="S74" s="106" t="e">
        <f>'1.Reel GSYH '!U71/'1.Reel GSYH '!$B71*100</f>
        <v>#DIV/0!</v>
      </c>
      <c r="T74" s="77"/>
      <c r="U74" s="53" t="e">
        <f>'1.Reel GSYH '!W71/'1.Reel GSYH '!$B71*100</f>
        <v>#DIV/0!</v>
      </c>
      <c r="V74" s="106" t="e">
        <f>'1.Reel GSYH '!X71/'1.Reel GSYH '!$B71*100</f>
        <v>#DIV/0!</v>
      </c>
      <c r="W74" s="106" t="e">
        <f>'1.Reel GSYH '!Y71/'1.Reel GSYH '!$B71*100</f>
        <v>#DIV/0!</v>
      </c>
      <c r="X74" s="108" t="e">
        <f t="shared" si="3"/>
        <v>#DIV/0!</v>
      </c>
    </row>
    <row r="75" spans="1:24" ht="15.75" customHeight="1">
      <c r="A75" s="40" t="s">
        <v>63</v>
      </c>
      <c r="B75" s="103" t="e">
        <f t="shared" si="2"/>
        <v>#DIV/0!</v>
      </c>
      <c r="C75" s="75" t="e">
        <f>'1.Reel GSYH '!E72/'1.Reel GSYH '!B72*100</f>
        <v>#DIV/0!</v>
      </c>
      <c r="D75" s="78" t="e">
        <f>'1.Reel GSYH '!F72/'1.Reel GSYH '!$B72*100</f>
        <v>#DIV/0!</v>
      </c>
      <c r="E75" s="78" t="e">
        <f>'1.Reel GSYH '!G72/'1.Reel GSYH '!$B72*100</f>
        <v>#DIV/0!</v>
      </c>
      <c r="F75" s="78" t="e">
        <f>'1.Reel GSYH '!H72/'1.Reel GSYH '!$B72*100</f>
        <v>#DIV/0!</v>
      </c>
      <c r="G75" s="107" t="e">
        <f>'1.Reel GSYH '!I72/'1.Reel GSYH '!$B72*100</f>
        <v>#DIV/0!</v>
      </c>
      <c r="H75" s="74"/>
      <c r="I75" s="106" t="e">
        <f>'1.Reel GSYH '!K72/'1.Reel GSYH '!$B72*100</f>
        <v>#DIV/0!</v>
      </c>
      <c r="J75" s="98"/>
      <c r="K75" s="53" t="e">
        <f>'1.Reel GSYH '!M72/'1.Reel GSYH '!$B72*100</f>
        <v>#DIV/0!</v>
      </c>
      <c r="L75" s="106" t="e">
        <f>'1.Reel GSYH '!N72/'1.Reel GSYH '!$B72*100</f>
        <v>#DIV/0!</v>
      </c>
      <c r="M75" s="106" t="e">
        <f>'1.Reel GSYH '!O72/'1.Reel GSYH '!$B72*100</f>
        <v>#DIV/0!</v>
      </c>
      <c r="N75" s="106" t="e">
        <f>'1.Reel GSYH '!P72/'1.Reel GSYH '!$B72*100</f>
        <v>#DIV/0!</v>
      </c>
      <c r="O75" s="106" t="e">
        <f>'1.Reel GSYH '!Q72/'1.Reel GSYH '!$B72*100</f>
        <v>#DIV/0!</v>
      </c>
      <c r="P75" s="106" t="e">
        <f>'1.Reel GSYH '!R72/'1.Reel GSYH '!$B72*100</f>
        <v>#DIV/0!</v>
      </c>
      <c r="Q75" s="107" t="e">
        <f>'1.Reel GSYH '!S72/'1.Reel GSYH '!$B72*100</f>
        <v>#DIV/0!</v>
      </c>
      <c r="R75" s="98"/>
      <c r="S75" s="106" t="e">
        <f>'1.Reel GSYH '!U72/'1.Reel GSYH '!$B72*100</f>
        <v>#DIV/0!</v>
      </c>
      <c r="T75" s="77"/>
      <c r="U75" s="53" t="e">
        <f>'1.Reel GSYH '!W72/'1.Reel GSYH '!$B72*100</f>
        <v>#DIV/0!</v>
      </c>
      <c r="V75" s="106" t="e">
        <f>'1.Reel GSYH '!X72/'1.Reel GSYH '!$B72*100</f>
        <v>#DIV/0!</v>
      </c>
      <c r="W75" s="106" t="e">
        <f>'1.Reel GSYH '!Y72/'1.Reel GSYH '!$B72*100</f>
        <v>#DIV/0!</v>
      </c>
      <c r="X75" s="108" t="e">
        <f t="shared" si="3"/>
        <v>#DIV/0!</v>
      </c>
    </row>
    <row r="76" spans="1:24" ht="15.75" customHeight="1">
      <c r="A76" s="40" t="s">
        <v>64</v>
      </c>
      <c r="B76" s="103">
        <f t="shared" si="2"/>
        <v>133815.60031201859</v>
      </c>
      <c r="C76" s="202"/>
      <c r="D76" s="201">
        <v>15446.1</v>
      </c>
      <c r="E76" s="202">
        <v>46185.9</v>
      </c>
      <c r="F76" s="201">
        <v>72183.600000000006</v>
      </c>
      <c r="G76" s="107">
        <f>'1.Reel GSYH '!I73/'1.Reel GSYH '!$B73*100</f>
        <v>3.1201857969549235E-4</v>
      </c>
      <c r="H76" s="74"/>
      <c r="I76" s="106">
        <f>'1.Reel GSYH '!K73/'1.Reel GSYH '!$B73*100</f>
        <v>89.19699544421529</v>
      </c>
      <c r="J76" s="98"/>
      <c r="K76" s="53">
        <f>'1.Reel GSYH '!M73/'1.Reel GSYH '!$B73*100</f>
        <v>0</v>
      </c>
      <c r="L76" s="106">
        <f>'1.Reel GSYH '!N73/'1.Reel GSYH '!$B73*100</f>
        <v>0</v>
      </c>
      <c r="M76" s="106">
        <f>'1.Reel GSYH '!O73/'1.Reel GSYH '!$B73*100</f>
        <v>0</v>
      </c>
      <c r="N76" s="106">
        <f>'1.Reel GSYH '!P73/'1.Reel GSYH '!$B73*100</f>
        <v>0</v>
      </c>
      <c r="O76" s="106">
        <f>'1.Reel GSYH '!Q73/'1.Reel GSYH '!$B73*100</f>
        <v>0</v>
      </c>
      <c r="P76" s="106">
        <f>'1.Reel GSYH '!R73/'1.Reel GSYH '!$B73*100</f>
        <v>0</v>
      </c>
      <c r="Q76" s="107">
        <f>'1.Reel GSYH '!S73/'1.Reel GSYH '!$B73*100</f>
        <v>0</v>
      </c>
      <c r="R76" s="98"/>
      <c r="S76" s="106">
        <f>'1.Reel GSYH '!U73/'1.Reel GSYH '!$B73*100</f>
        <v>0</v>
      </c>
      <c r="T76" s="77"/>
      <c r="U76" s="53">
        <f>'1.Reel GSYH '!W73/'1.Reel GSYH '!$B73*100</f>
        <v>141.75694989638535</v>
      </c>
      <c r="V76" s="106">
        <f>'1.Reel GSYH '!X73/'1.Reel GSYH '!$B73*100</f>
        <v>130.95460088006232</v>
      </c>
      <c r="W76" s="106">
        <f>'1.Reel GSYH '!Y73/'1.Reel GSYH '!$B73*100</f>
        <v>10.802349016323035</v>
      </c>
      <c r="X76" s="108">
        <f t="shared" si="3"/>
        <v>272.71155077644767</v>
      </c>
    </row>
    <row r="77" spans="1:24" ht="15.75" customHeight="1">
      <c r="A77" s="40" t="s">
        <v>65</v>
      </c>
      <c r="B77" s="103">
        <f t="shared" si="2"/>
        <v>158937.40038478962</v>
      </c>
      <c r="C77" s="202">
        <v>13867.4</v>
      </c>
      <c r="D77" s="201">
        <v>14821.1</v>
      </c>
      <c r="E77" s="202">
        <v>54581.3</v>
      </c>
      <c r="F77" s="201">
        <v>75667.600000000006</v>
      </c>
      <c r="G77" s="107">
        <f>'1.Reel GSYH '!I74/'1.Reel GSYH '!$B74*100</f>
        <v>3.8478961389893279E-4</v>
      </c>
      <c r="H77" s="74"/>
      <c r="I77" s="106">
        <f>'1.Reel GSYH '!K74/'1.Reel GSYH '!$B74*100</f>
        <v>102.1171037915809</v>
      </c>
      <c r="J77" s="98"/>
      <c r="K77" s="53">
        <f>'1.Reel GSYH '!M74/'1.Reel GSYH '!$B74*100</f>
        <v>0</v>
      </c>
      <c r="L77" s="106">
        <f>'1.Reel GSYH '!N74/'1.Reel GSYH '!$B74*100</f>
        <v>0</v>
      </c>
      <c r="M77" s="106">
        <f>'1.Reel GSYH '!O74/'1.Reel GSYH '!$B74*100</f>
        <v>0</v>
      </c>
      <c r="N77" s="106">
        <f>'1.Reel GSYH '!P74/'1.Reel GSYH '!$B74*100</f>
        <v>0</v>
      </c>
      <c r="O77" s="106">
        <f>'1.Reel GSYH '!Q74/'1.Reel GSYH '!$B74*100</f>
        <v>0</v>
      </c>
      <c r="P77" s="106">
        <f>'1.Reel GSYH '!R74/'1.Reel GSYH '!$B74*100</f>
        <v>0</v>
      </c>
      <c r="Q77" s="107">
        <f>'1.Reel GSYH '!S74/'1.Reel GSYH '!$B74*100</f>
        <v>0</v>
      </c>
      <c r="R77" s="98"/>
      <c r="S77" s="106">
        <f>'1.Reel GSYH '!U74/'1.Reel GSYH '!$B74*100</f>
        <v>0</v>
      </c>
      <c r="T77" s="77"/>
      <c r="U77" s="53">
        <f>'1.Reel GSYH '!W74/'1.Reel GSYH '!$B74*100</f>
        <v>145.54001091559999</v>
      </c>
      <c r="V77" s="106">
        <f>'1.Reel GSYH '!X74/'1.Reel GSYH '!$B74*100</f>
        <v>147.65792386984208</v>
      </c>
      <c r="W77" s="106">
        <f>'1.Reel GSYH '!Y74/'1.Reel GSYH '!$B74*100</f>
        <v>-2.1179129542421076</v>
      </c>
      <c r="X77" s="108">
        <f t="shared" si="3"/>
        <v>293.19793478544204</v>
      </c>
    </row>
    <row r="78" spans="1:24" ht="15.75" customHeight="1">
      <c r="A78" s="40" t="s">
        <v>66</v>
      </c>
      <c r="B78" s="103">
        <f t="shared" si="2"/>
        <v>176619.30042614613</v>
      </c>
      <c r="C78" s="202">
        <v>13070.6</v>
      </c>
      <c r="D78" s="201">
        <v>16667.7</v>
      </c>
      <c r="E78" s="202">
        <v>68853.600000000006</v>
      </c>
      <c r="F78" s="201">
        <v>78027.399999999994</v>
      </c>
      <c r="G78" s="107">
        <f>'1.Reel GSYH '!I75/'1.Reel GSYH '!$B75*100</f>
        <v>4.2614614558443727E-4</v>
      </c>
      <c r="H78" s="74"/>
      <c r="I78" s="106">
        <f>'1.Reel GSYH '!K75/'1.Reel GSYH '!$B75*100</f>
        <v>103.09519479864487</v>
      </c>
      <c r="J78" s="98"/>
      <c r="K78" s="53">
        <f>'1.Reel GSYH '!M75/'1.Reel GSYH '!$B75*100</f>
        <v>0</v>
      </c>
      <c r="L78" s="106">
        <f>'1.Reel GSYH '!N75/'1.Reel GSYH '!$B75*100</f>
        <v>0</v>
      </c>
      <c r="M78" s="106">
        <f>'1.Reel GSYH '!O75/'1.Reel GSYH '!$B75*100</f>
        <v>0</v>
      </c>
      <c r="N78" s="106">
        <f>'1.Reel GSYH '!P75/'1.Reel GSYH '!$B75*100</f>
        <v>0</v>
      </c>
      <c r="O78" s="106">
        <f>'1.Reel GSYH '!Q75/'1.Reel GSYH '!$B75*100</f>
        <v>0</v>
      </c>
      <c r="P78" s="106">
        <f>'1.Reel GSYH '!R75/'1.Reel GSYH '!$B75*100</f>
        <v>0</v>
      </c>
      <c r="Q78" s="107">
        <f>'1.Reel GSYH '!S75/'1.Reel GSYH '!$B75*100</f>
        <v>0</v>
      </c>
      <c r="R78" s="98"/>
      <c r="S78" s="106">
        <f>'1.Reel GSYH '!U75/'1.Reel GSYH '!$B75*100</f>
        <v>0</v>
      </c>
      <c r="T78" s="77"/>
      <c r="U78" s="53">
        <f>'1.Reel GSYH '!W75/'1.Reel GSYH '!$B75*100</f>
        <v>157.57392384663387</v>
      </c>
      <c r="V78" s="106">
        <f>'1.Reel GSYH '!X75/'1.Reel GSYH '!$B75*100</f>
        <v>160.67000407407883</v>
      </c>
      <c r="W78" s="106">
        <f>'1.Reel GSYH '!Y75/'1.Reel GSYH '!$B75*100</f>
        <v>-3.0960802274449617</v>
      </c>
      <c r="X78" s="108">
        <f t="shared" si="3"/>
        <v>318.24392792071274</v>
      </c>
    </row>
    <row r="79" spans="1:24" ht="15.75" customHeight="1">
      <c r="A79" s="40" t="s">
        <v>67</v>
      </c>
      <c r="B79" s="103">
        <f t="shared" si="2"/>
        <v>168863.7004041266</v>
      </c>
      <c r="C79" s="202">
        <v>13576.9</v>
      </c>
      <c r="D79" s="201">
        <v>17942.900000000001</v>
      </c>
      <c r="E79" s="202">
        <v>57638.6</v>
      </c>
      <c r="F79" s="201">
        <v>79705.3</v>
      </c>
      <c r="G79" s="107">
        <f>'1.Reel GSYH '!I76/'1.Reel GSYH '!$B76*100</f>
        <v>4.04126599055532E-4</v>
      </c>
      <c r="H79" s="74"/>
      <c r="I79" s="106">
        <f>'1.Reel GSYH '!K76/'1.Reel GSYH '!$B76*100</f>
        <v>107.57518842697911</v>
      </c>
      <c r="J79" s="98"/>
      <c r="K79" s="53">
        <f>'1.Reel GSYH '!M76/'1.Reel GSYH '!$B76*100</f>
        <v>0</v>
      </c>
      <c r="L79" s="106">
        <f>'1.Reel GSYH '!N76/'1.Reel GSYH '!$B76*100</f>
        <v>0</v>
      </c>
      <c r="M79" s="106">
        <f>'1.Reel GSYH '!O76/'1.Reel GSYH '!$B76*100</f>
        <v>0</v>
      </c>
      <c r="N79" s="106">
        <f>'1.Reel GSYH '!P76/'1.Reel GSYH '!$B76*100</f>
        <v>0</v>
      </c>
      <c r="O79" s="106">
        <f>'1.Reel GSYH '!Q76/'1.Reel GSYH '!$B76*100</f>
        <v>0</v>
      </c>
      <c r="P79" s="106">
        <f>'1.Reel GSYH '!R76/'1.Reel GSYH '!$B76*100</f>
        <v>0</v>
      </c>
      <c r="Q79" s="107">
        <f>'1.Reel GSYH '!S76/'1.Reel GSYH '!$B76*100</f>
        <v>0</v>
      </c>
      <c r="R79" s="98"/>
      <c r="S79" s="106">
        <f>'1.Reel GSYH '!U76/'1.Reel GSYH '!$B76*100</f>
        <v>0</v>
      </c>
      <c r="T79" s="77"/>
      <c r="U79" s="53">
        <f>'1.Reel GSYH '!W76/'1.Reel GSYH '!$B76*100</f>
        <v>154.36929757186707</v>
      </c>
      <c r="V79" s="106">
        <f>'1.Reel GSYH '!X76/'1.Reel GSYH '!$B76*100</f>
        <v>161.94531775119253</v>
      </c>
      <c r="W79" s="106">
        <f>'1.Reel GSYH '!Y76/'1.Reel GSYH '!$B76*100</f>
        <v>-7.5760201793254849</v>
      </c>
      <c r="X79" s="108">
        <f t="shared" si="3"/>
        <v>316.31461532305957</v>
      </c>
    </row>
    <row r="80" spans="1:24" ht="15.75" customHeight="1">
      <c r="A80" s="40" t="s">
        <v>68</v>
      </c>
      <c r="B80" s="103">
        <f t="shared" si="2"/>
        <v>152261.30043731615</v>
      </c>
      <c r="C80" s="202">
        <v>12003.8</v>
      </c>
      <c r="D80" s="201">
        <v>16858.8</v>
      </c>
      <c r="E80" s="202">
        <v>48168.800000000003</v>
      </c>
      <c r="F80" s="201">
        <v>75229.899999999994</v>
      </c>
      <c r="G80" s="107">
        <f>'1.Reel GSYH '!I77/'1.Reel GSYH '!$B77*100</f>
        <v>4.3731615648640184E-4</v>
      </c>
      <c r="H80" s="74"/>
      <c r="I80" s="106">
        <f>'1.Reel GSYH '!K77/'1.Reel GSYH '!$B77*100</f>
        <v>122.49929350389839</v>
      </c>
      <c r="J80" s="98"/>
      <c r="K80" s="53">
        <f>'1.Reel GSYH '!M77/'1.Reel GSYH '!$B77*100</f>
        <v>0</v>
      </c>
      <c r="L80" s="106">
        <f>'1.Reel GSYH '!N77/'1.Reel GSYH '!$B77*100</f>
        <v>0</v>
      </c>
      <c r="M80" s="106">
        <f>'1.Reel GSYH '!O77/'1.Reel GSYH '!$B77*100</f>
        <v>0</v>
      </c>
      <c r="N80" s="106">
        <f>'1.Reel GSYH '!P77/'1.Reel GSYH '!$B77*100</f>
        <v>0</v>
      </c>
      <c r="O80" s="106">
        <f>'1.Reel GSYH '!Q77/'1.Reel GSYH '!$B77*100</f>
        <v>0</v>
      </c>
      <c r="P80" s="106">
        <f>'1.Reel GSYH '!R77/'1.Reel GSYH '!$B77*100</f>
        <v>0</v>
      </c>
      <c r="Q80" s="107">
        <f>'1.Reel GSYH '!S77/'1.Reel GSYH '!$B77*100</f>
        <v>0</v>
      </c>
      <c r="R80" s="98"/>
      <c r="S80" s="106">
        <f>'1.Reel GSYH '!U77/'1.Reel GSYH '!$B77*100</f>
        <v>0</v>
      </c>
      <c r="T80" s="77"/>
      <c r="U80" s="53">
        <f>'1.Reel GSYH '!W77/'1.Reel GSYH '!$B77*100</f>
        <v>170.00206524293492</v>
      </c>
      <c r="V80" s="106">
        <f>'1.Reel GSYH '!X77/'1.Reel GSYH '!$B77*100</f>
        <v>192.50224657209179</v>
      </c>
      <c r="W80" s="106">
        <f>'1.Reel GSYH '!Y77/'1.Reel GSYH '!$B77*100</f>
        <v>-22.500181329156874</v>
      </c>
      <c r="X80" s="108">
        <f t="shared" si="3"/>
        <v>362.50431181502671</v>
      </c>
    </row>
    <row r="81" spans="1:24" ht="15.75" customHeight="1">
      <c r="A81" s="40" t="s">
        <v>69</v>
      </c>
      <c r="B81" s="103">
        <f t="shared" si="2"/>
        <v>171770.50049334488</v>
      </c>
      <c r="C81" s="202">
        <v>14470.4</v>
      </c>
      <c r="D81" s="201">
        <v>19772.900000000001</v>
      </c>
      <c r="E81" s="202">
        <v>57817.9</v>
      </c>
      <c r="F81" s="201">
        <v>79709.3</v>
      </c>
      <c r="G81" s="107">
        <f>'1.Reel GSYH '!I78/'1.Reel GSYH '!$B78*100</f>
        <v>4.9334488584735743E-4</v>
      </c>
      <c r="H81" s="74"/>
      <c r="I81" s="106">
        <f>'1.Reel GSYH '!K78/'1.Reel GSYH '!$B78*100</f>
        <v>126.04798107793178</v>
      </c>
      <c r="J81" s="98"/>
      <c r="K81" s="53">
        <f>'1.Reel GSYH '!M78/'1.Reel GSYH '!$B78*100</f>
        <v>0</v>
      </c>
      <c r="L81" s="106">
        <f>'1.Reel GSYH '!N78/'1.Reel GSYH '!$B78*100</f>
        <v>0</v>
      </c>
      <c r="M81" s="106">
        <f>'1.Reel GSYH '!O78/'1.Reel GSYH '!$B78*100</f>
        <v>0</v>
      </c>
      <c r="N81" s="106">
        <f>'1.Reel GSYH '!P78/'1.Reel GSYH '!$B78*100</f>
        <v>0</v>
      </c>
      <c r="O81" s="106">
        <f>'1.Reel GSYH '!Q78/'1.Reel GSYH '!$B78*100</f>
        <v>0</v>
      </c>
      <c r="P81" s="106">
        <f>'1.Reel GSYH '!R78/'1.Reel GSYH '!$B78*100</f>
        <v>0</v>
      </c>
      <c r="Q81" s="107">
        <f>'1.Reel GSYH '!S78/'1.Reel GSYH '!$B78*100</f>
        <v>0</v>
      </c>
      <c r="R81" s="98"/>
      <c r="S81" s="106">
        <f>'1.Reel GSYH '!U78/'1.Reel GSYH '!$B78*100</f>
        <v>0</v>
      </c>
      <c r="T81" s="77"/>
      <c r="U81" s="53">
        <f>'1.Reel GSYH '!W78/'1.Reel GSYH '!$B78*100</f>
        <v>187.06511103113738</v>
      </c>
      <c r="V81" s="106">
        <f>'1.Reel GSYH '!X78/'1.Reel GSYH '!$B78*100</f>
        <v>213.11409337769106</v>
      </c>
      <c r="W81" s="106">
        <f>'1.Reel GSYH '!Y78/'1.Reel GSYH '!$B78*100</f>
        <v>-26.048982346553707</v>
      </c>
      <c r="X81" s="108">
        <f t="shared" si="3"/>
        <v>400.17920440882847</v>
      </c>
    </row>
    <row r="82" spans="1:24" ht="15.75" customHeight="1">
      <c r="A82" s="40" t="s">
        <v>70</v>
      </c>
      <c r="B82" s="103">
        <f t="shared" ref="B82:B106" si="4">SUM(C82:G82)</f>
        <v>198720.90066600495</v>
      </c>
      <c r="C82" s="202">
        <v>14482.6</v>
      </c>
      <c r="D82" s="201">
        <v>20155.3</v>
      </c>
      <c r="E82" s="202">
        <v>79079.899999999994</v>
      </c>
      <c r="F82" s="201">
        <v>85003.1</v>
      </c>
      <c r="G82" s="107">
        <f>'1.Reel GSYH '!I79/'1.Reel GSYH '!$B79*100</f>
        <v>6.6600494289107564E-4</v>
      </c>
      <c r="H82" s="74"/>
      <c r="I82" s="106">
        <f>'1.Reel GSYH '!K79/'1.Reel GSYH '!$B79*100</f>
        <v>151.36875005323409</v>
      </c>
      <c r="J82" s="98"/>
      <c r="K82" s="53">
        <f>'1.Reel GSYH '!M79/'1.Reel GSYH '!$B79*100</f>
        <v>0</v>
      </c>
      <c r="L82" s="106">
        <f>'1.Reel GSYH '!N79/'1.Reel GSYH '!$B79*100</f>
        <v>0</v>
      </c>
      <c r="M82" s="106">
        <f>'1.Reel GSYH '!O79/'1.Reel GSYH '!$B79*100</f>
        <v>0</v>
      </c>
      <c r="N82" s="106">
        <f>'1.Reel GSYH '!P79/'1.Reel GSYH '!$B79*100</f>
        <v>0</v>
      </c>
      <c r="O82" s="106">
        <f>'1.Reel GSYH '!Q79/'1.Reel GSYH '!$B79*100</f>
        <v>0</v>
      </c>
      <c r="P82" s="106">
        <f>'1.Reel GSYH '!R79/'1.Reel GSYH '!$B79*100</f>
        <v>0</v>
      </c>
      <c r="Q82" s="107">
        <f>'1.Reel GSYH '!S79/'1.Reel GSYH '!$B79*100</f>
        <v>0</v>
      </c>
      <c r="R82" s="98"/>
      <c r="S82" s="106">
        <f>'1.Reel GSYH '!U79/'1.Reel GSYH '!$B79*100</f>
        <v>0</v>
      </c>
      <c r="T82" s="77"/>
      <c r="U82" s="53">
        <f>'1.Reel GSYH '!W79/'1.Reel GSYH '!$B79*100</f>
        <v>210.36328478773672</v>
      </c>
      <c r="V82" s="106">
        <f>'1.Reel GSYH '!X79/'1.Reel GSYH '!$B79*100</f>
        <v>261.73337799244263</v>
      </c>
      <c r="W82" s="106">
        <f>'1.Reel GSYH '!Y79/'1.Reel GSYH '!$B79*100</f>
        <v>-51.37009320470591</v>
      </c>
      <c r="X82" s="108">
        <f t="shared" si="3"/>
        <v>472.09666278017937</v>
      </c>
    </row>
    <row r="83" spans="1:24" ht="15.75" customHeight="1">
      <c r="A83" s="40" t="s">
        <v>71</v>
      </c>
      <c r="B83" s="103">
        <f t="shared" si="4"/>
        <v>188966.90070371114</v>
      </c>
      <c r="C83" s="202">
        <v>18909.400000000001</v>
      </c>
      <c r="D83" s="201">
        <v>20018.2</v>
      </c>
      <c r="E83" s="202">
        <v>62600.9</v>
      </c>
      <c r="F83" s="201">
        <v>87438.399999999994</v>
      </c>
      <c r="G83" s="107">
        <f>'1.Reel GSYH '!I80/'1.Reel GSYH '!$B80*100</f>
        <v>7.0371114493048036E-4</v>
      </c>
      <c r="H83" s="74"/>
      <c r="I83" s="106">
        <f>'1.Reel GSYH '!K80/'1.Reel GSYH '!$B80*100</f>
        <v>171.07035404089046</v>
      </c>
      <c r="J83" s="98"/>
      <c r="K83" s="53">
        <f>'1.Reel GSYH '!M80/'1.Reel GSYH '!$B80*100</f>
        <v>0</v>
      </c>
      <c r="L83" s="106">
        <f>'1.Reel GSYH '!N80/'1.Reel GSYH '!$B80*100</f>
        <v>0</v>
      </c>
      <c r="M83" s="106">
        <f>'1.Reel GSYH '!O80/'1.Reel GSYH '!$B80*100</f>
        <v>0</v>
      </c>
      <c r="N83" s="106">
        <f>'1.Reel GSYH '!P80/'1.Reel GSYH '!$B80*100</f>
        <v>0</v>
      </c>
      <c r="O83" s="106">
        <f>'1.Reel GSYH '!Q80/'1.Reel GSYH '!$B80*100</f>
        <v>0</v>
      </c>
      <c r="P83" s="106">
        <f>'1.Reel GSYH '!R80/'1.Reel GSYH '!$B80*100</f>
        <v>0</v>
      </c>
      <c r="Q83" s="107">
        <f>'1.Reel GSYH '!S80/'1.Reel GSYH '!$B80*100</f>
        <v>0</v>
      </c>
      <c r="R83" s="98"/>
      <c r="S83" s="106">
        <f>'1.Reel GSYH '!U80/'1.Reel GSYH '!$B80*100</f>
        <v>0</v>
      </c>
      <c r="T83" s="77"/>
      <c r="U83" s="53">
        <f>'1.Reel GSYH '!W80/'1.Reel GSYH '!$B80*100</f>
        <v>245.90923513402174</v>
      </c>
      <c r="V83" s="106">
        <f>'1.Reel GSYH '!X80/'1.Reel GSYH '!$B80*100</f>
        <v>316.98100753821177</v>
      </c>
      <c r="W83" s="106">
        <f>'1.Reel GSYH '!Y80/'1.Reel GSYH '!$B80*100</f>
        <v>-71.071772404190028</v>
      </c>
      <c r="X83" s="108">
        <f t="shared" si="3"/>
        <v>562.89024267223351</v>
      </c>
    </row>
    <row r="84" spans="1:24" ht="15.75" customHeight="1">
      <c r="A84" s="40" t="s">
        <v>72</v>
      </c>
      <c r="B84" s="103">
        <f t="shared" si="4"/>
        <v>179730.60087760477</v>
      </c>
      <c r="C84" s="202">
        <v>16529.5</v>
      </c>
      <c r="D84" s="201">
        <v>23137.9</v>
      </c>
      <c r="E84" s="202">
        <v>55977.4</v>
      </c>
      <c r="F84" s="201">
        <v>84085.8</v>
      </c>
      <c r="G84" s="107">
        <f>'1.Reel GSYH '!I81/'1.Reel GSYH '!$B81*100</f>
        <v>8.7760476906479149E-4</v>
      </c>
      <c r="H84" s="74"/>
      <c r="I84" s="106">
        <f>'1.Reel GSYH '!K81/'1.Reel GSYH '!$B81*100</f>
        <v>224.729484728969</v>
      </c>
      <c r="J84" s="98"/>
      <c r="K84" s="53">
        <f>'1.Reel GSYH '!M81/'1.Reel GSYH '!$B81*100</f>
        <v>0</v>
      </c>
      <c r="L84" s="106">
        <f>'1.Reel GSYH '!N81/'1.Reel GSYH '!$B81*100</f>
        <v>0</v>
      </c>
      <c r="M84" s="106">
        <f>'1.Reel GSYH '!O81/'1.Reel GSYH '!$B81*100</f>
        <v>0</v>
      </c>
      <c r="N84" s="106">
        <f>'1.Reel GSYH '!P81/'1.Reel GSYH '!$B81*100</f>
        <v>0</v>
      </c>
      <c r="O84" s="106">
        <f>'1.Reel GSYH '!Q81/'1.Reel GSYH '!$B81*100</f>
        <v>0</v>
      </c>
      <c r="P84" s="106">
        <f>'1.Reel GSYH '!R81/'1.Reel GSYH '!$B81*100</f>
        <v>0</v>
      </c>
      <c r="Q84" s="107">
        <f>'1.Reel GSYH '!S81/'1.Reel GSYH '!$B81*100</f>
        <v>0</v>
      </c>
      <c r="R84" s="98"/>
      <c r="S84" s="106">
        <f>'1.Reel GSYH '!U81/'1.Reel GSYH '!$B81*100</f>
        <v>0</v>
      </c>
      <c r="T84" s="77"/>
      <c r="U84" s="53">
        <f>'1.Reel GSYH '!W81/'1.Reel GSYH '!$B81*100</f>
        <v>351.10710060324521</v>
      </c>
      <c r="V84" s="106">
        <f>'1.Reel GSYH '!X81/'1.Reel GSYH '!$B81*100</f>
        <v>475.83833957259355</v>
      </c>
      <c r="W84" s="106">
        <f>'1.Reel GSYH '!Y81/'1.Reel GSYH '!$B81*100</f>
        <v>-124.73123896934834</v>
      </c>
      <c r="X84" s="108">
        <f t="shared" si="3"/>
        <v>826.94544017583871</v>
      </c>
    </row>
    <row r="85" spans="1:24" ht="15.75" customHeight="1">
      <c r="A85" s="40" t="s">
        <v>73</v>
      </c>
      <c r="B85" s="103">
        <f t="shared" si="4"/>
        <v>197761.70104825057</v>
      </c>
      <c r="C85" s="202">
        <v>19098.900000000001</v>
      </c>
      <c r="D85" s="201">
        <v>23366.5</v>
      </c>
      <c r="E85" s="202">
        <v>65328.2</v>
      </c>
      <c r="F85" s="201">
        <v>89968.1</v>
      </c>
      <c r="G85" s="107">
        <f>'1.Reel GSYH '!I82/'1.Reel GSYH '!$B82*100</f>
        <v>1.0482505519782206E-3</v>
      </c>
      <c r="H85" s="74"/>
      <c r="I85" s="106">
        <f>'1.Reel GSYH '!K82/'1.Reel GSYH '!$B82*100</f>
        <v>243.52716832712949</v>
      </c>
      <c r="J85" s="98"/>
      <c r="K85" s="53">
        <f>'1.Reel GSYH '!M82/'1.Reel GSYH '!$B82*100</f>
        <v>0</v>
      </c>
      <c r="L85" s="106">
        <f>'1.Reel GSYH '!N82/'1.Reel GSYH '!$B82*100</f>
        <v>0</v>
      </c>
      <c r="M85" s="106">
        <f>'1.Reel GSYH '!O82/'1.Reel GSYH '!$B82*100</f>
        <v>0</v>
      </c>
      <c r="N85" s="106">
        <f>'1.Reel GSYH '!P82/'1.Reel GSYH '!$B82*100</f>
        <v>0</v>
      </c>
      <c r="O85" s="106">
        <f>'1.Reel GSYH '!Q82/'1.Reel GSYH '!$B82*100</f>
        <v>0</v>
      </c>
      <c r="P85" s="106">
        <f>'1.Reel GSYH '!R82/'1.Reel GSYH '!$B82*100</f>
        <v>0</v>
      </c>
      <c r="Q85" s="107">
        <f>'1.Reel GSYH '!S82/'1.Reel GSYH '!$B82*100</f>
        <v>0</v>
      </c>
      <c r="R85" s="98"/>
      <c r="S85" s="106">
        <f>'1.Reel GSYH '!U82/'1.Reel GSYH '!$B82*100</f>
        <v>0</v>
      </c>
      <c r="T85" s="77"/>
      <c r="U85" s="53">
        <f>'1.Reel GSYH '!W82/'1.Reel GSYH '!$B82*100</f>
        <v>388.64906149864032</v>
      </c>
      <c r="V85" s="106">
        <f>'1.Reel GSYH '!X82/'1.Reel GSYH '!$B82*100</f>
        <v>532.17830333344091</v>
      </c>
      <c r="W85" s="106">
        <f>'1.Reel GSYH '!Y82/'1.Reel GSYH '!$B82*100</f>
        <v>-143.52924183480053</v>
      </c>
      <c r="X85" s="108">
        <f t="shared" si="3"/>
        <v>920.82736483208123</v>
      </c>
    </row>
    <row r="86" spans="1:24" ht="15.75" customHeight="1">
      <c r="A86" s="40" t="s">
        <v>74</v>
      </c>
      <c r="B86" s="103">
        <f t="shared" si="4"/>
        <v>218127.40110073332</v>
      </c>
      <c r="C86" s="202">
        <v>17801.8</v>
      </c>
      <c r="D86" s="201">
        <v>25012.9</v>
      </c>
      <c r="E86" s="202">
        <v>82795.899999999994</v>
      </c>
      <c r="F86" s="201">
        <v>92516.800000000003</v>
      </c>
      <c r="G86" s="107">
        <f>'1.Reel GSYH '!I83/'1.Reel GSYH '!$B83*100</f>
        <v>1.1007333314057026E-3</v>
      </c>
      <c r="H86" s="74"/>
      <c r="I86" s="106">
        <f>'1.Reel GSYH '!K83/'1.Reel GSYH '!$B83*100</f>
        <v>225.67216286601354</v>
      </c>
      <c r="J86" s="98"/>
      <c r="K86" s="53">
        <f>'1.Reel GSYH '!M83/'1.Reel GSYH '!$B83*100</f>
        <v>0</v>
      </c>
      <c r="L86" s="106">
        <f>'1.Reel GSYH '!N83/'1.Reel GSYH '!$B83*100</f>
        <v>0</v>
      </c>
      <c r="M86" s="106">
        <f>'1.Reel GSYH '!O83/'1.Reel GSYH '!$B83*100</f>
        <v>0</v>
      </c>
      <c r="N86" s="106">
        <f>'1.Reel GSYH '!P83/'1.Reel GSYH '!$B83*100</f>
        <v>0</v>
      </c>
      <c r="O86" s="106">
        <f>'1.Reel GSYH '!Q83/'1.Reel GSYH '!$B83*100</f>
        <v>0</v>
      </c>
      <c r="P86" s="106">
        <f>'1.Reel GSYH '!R83/'1.Reel GSYH '!$B83*100</f>
        <v>0</v>
      </c>
      <c r="Q86" s="107">
        <f>'1.Reel GSYH '!S83/'1.Reel GSYH '!$B83*100</f>
        <v>0</v>
      </c>
      <c r="R86" s="98"/>
      <c r="S86" s="106">
        <f>'1.Reel GSYH '!U83/'1.Reel GSYH '!$B83*100</f>
        <v>0</v>
      </c>
      <c r="T86" s="77"/>
      <c r="U86" s="53">
        <f>'1.Reel GSYH '!W83/'1.Reel GSYH '!$B83*100</f>
        <v>419.86752765981629</v>
      </c>
      <c r="V86" s="106">
        <f>'1.Reel GSYH '!X83/'1.Reel GSYH '!$B83*100</f>
        <v>545.54183868561529</v>
      </c>
      <c r="W86" s="106">
        <f>'1.Reel GSYH '!Y83/'1.Reel GSYH '!$B83*100</f>
        <v>-125.67431102579904</v>
      </c>
      <c r="X86" s="108">
        <f t="shared" si="3"/>
        <v>965.40936634543164</v>
      </c>
    </row>
    <row r="87" spans="1:24" ht="15.75" customHeight="1">
      <c r="A87" s="40" t="s">
        <v>75</v>
      </c>
      <c r="B87" s="103">
        <f t="shared" si="4"/>
        <v>206757.20081169534</v>
      </c>
      <c r="C87" s="202">
        <v>19788.599999999999</v>
      </c>
      <c r="D87" s="201">
        <v>23775.3</v>
      </c>
      <c r="E87" s="202">
        <v>68534.600000000006</v>
      </c>
      <c r="F87" s="201">
        <v>94658.7</v>
      </c>
      <c r="G87" s="107">
        <f>'1.Reel GSYH '!I84/'1.Reel GSYH '!$B84*100</f>
        <v>8.1169531297134705E-4</v>
      </c>
      <c r="H87" s="74"/>
      <c r="I87" s="106">
        <f>'1.Reel GSYH '!K84/'1.Reel GSYH '!$B84*100</f>
        <v>184.45689835207921</v>
      </c>
      <c r="J87" s="98"/>
      <c r="K87" s="53">
        <f>'1.Reel GSYH '!M84/'1.Reel GSYH '!$B84*100</f>
        <v>0</v>
      </c>
      <c r="L87" s="106">
        <f>'1.Reel GSYH '!N84/'1.Reel GSYH '!$B84*100</f>
        <v>0</v>
      </c>
      <c r="M87" s="106">
        <f>'1.Reel GSYH '!O84/'1.Reel GSYH '!$B84*100</f>
        <v>0</v>
      </c>
      <c r="N87" s="106">
        <f>'1.Reel GSYH '!P84/'1.Reel GSYH '!$B84*100</f>
        <v>0</v>
      </c>
      <c r="O87" s="106">
        <f>'1.Reel GSYH '!Q84/'1.Reel GSYH '!$B84*100</f>
        <v>0</v>
      </c>
      <c r="P87" s="106">
        <f>'1.Reel GSYH '!R84/'1.Reel GSYH '!$B84*100</f>
        <v>0</v>
      </c>
      <c r="Q87" s="107">
        <f>'1.Reel GSYH '!S84/'1.Reel GSYH '!$B84*100</f>
        <v>0</v>
      </c>
      <c r="R87" s="98"/>
      <c r="S87" s="106">
        <f>'1.Reel GSYH '!U84/'1.Reel GSYH '!$B84*100</f>
        <v>0</v>
      </c>
      <c r="T87" s="77"/>
      <c r="U87" s="53">
        <f>'1.Reel GSYH '!W84/'1.Reel GSYH '!$B84*100</f>
        <v>320.46067398831019</v>
      </c>
      <c r="V87" s="106">
        <f>'1.Reel GSYH '!X84/'1.Reel GSYH '!$B84*100</f>
        <v>404.91913139493408</v>
      </c>
      <c r="W87" s="106">
        <f>'1.Reel GSYH '!Y84/'1.Reel GSYH '!$B84*100</f>
        <v>-84.458457406623893</v>
      </c>
      <c r="X87" s="108">
        <f t="shared" si="3"/>
        <v>725.37980538324427</v>
      </c>
    </row>
    <row r="88" spans="1:24" ht="15.75" customHeight="1">
      <c r="A88" s="40" t="s">
        <v>76</v>
      </c>
      <c r="B88" s="103">
        <f t="shared" si="4"/>
        <v>186509.3007042087</v>
      </c>
      <c r="C88" s="202">
        <v>15596.4</v>
      </c>
      <c r="D88" s="201">
        <v>24269.3</v>
      </c>
      <c r="E88" s="202">
        <v>61055.8</v>
      </c>
      <c r="F88" s="201">
        <v>85587.8</v>
      </c>
      <c r="G88" s="107">
        <f>'1.Reel GSYH '!I85/'1.Reel GSYH '!$B85*100</f>
        <v>7.0420870191398028E-4</v>
      </c>
      <c r="H88" s="74"/>
      <c r="I88" s="106">
        <f>'1.Reel GSYH '!K85/'1.Reel GSYH '!$B85*100</f>
        <v>175.48172577823709</v>
      </c>
      <c r="J88" s="98"/>
      <c r="K88" s="53">
        <f>'1.Reel GSYH '!M85/'1.Reel GSYH '!$B85*100</f>
        <v>0</v>
      </c>
      <c r="L88" s="106">
        <f>'1.Reel GSYH '!N85/'1.Reel GSYH '!$B85*100</f>
        <v>0</v>
      </c>
      <c r="M88" s="106">
        <f>'1.Reel GSYH '!O85/'1.Reel GSYH '!$B85*100</f>
        <v>0</v>
      </c>
      <c r="N88" s="106">
        <f>'1.Reel GSYH '!P85/'1.Reel GSYH '!$B85*100</f>
        <v>0</v>
      </c>
      <c r="O88" s="106">
        <f>'1.Reel GSYH '!Q85/'1.Reel GSYH '!$B85*100</f>
        <v>0</v>
      </c>
      <c r="P88" s="106">
        <f>'1.Reel GSYH '!R85/'1.Reel GSYH '!$B85*100</f>
        <v>0</v>
      </c>
      <c r="Q88" s="107">
        <f>'1.Reel GSYH '!S85/'1.Reel GSYH '!$B85*100</f>
        <v>0</v>
      </c>
      <c r="R88" s="98"/>
      <c r="S88" s="106">
        <f>'1.Reel GSYH '!U85/'1.Reel GSYH '!$B85*100</f>
        <v>0</v>
      </c>
      <c r="T88" s="77"/>
      <c r="U88" s="53">
        <f>'1.Reel GSYH '!W85/'1.Reel GSYH '!$B85*100</f>
        <v>304.91690590852176</v>
      </c>
      <c r="V88" s="106">
        <f>'1.Reel GSYH '!X85/'1.Reel GSYH '!$B85*100</f>
        <v>380.3999755041616</v>
      </c>
      <c r="W88" s="106">
        <f>'1.Reel GSYH '!Y85/'1.Reel GSYH '!$B85*100</f>
        <v>-75.483069595639847</v>
      </c>
      <c r="X88" s="108">
        <f t="shared" si="3"/>
        <v>685.31688141268341</v>
      </c>
    </row>
    <row r="89" spans="1:24" ht="15.75" customHeight="1">
      <c r="A89" s="40" t="s">
        <v>77</v>
      </c>
      <c r="B89" s="103">
        <f t="shared" si="4"/>
        <v>202525.40056956786</v>
      </c>
      <c r="C89" s="202">
        <v>19039.5</v>
      </c>
      <c r="D89" s="201">
        <v>23123.3</v>
      </c>
      <c r="E89" s="202">
        <v>66515.199999999997</v>
      </c>
      <c r="F89" s="201">
        <v>93847.4</v>
      </c>
      <c r="G89" s="107">
        <f>'1.Reel GSYH '!I86/'1.Reel GSYH '!$B86*100</f>
        <v>5.6956787828118464E-4</v>
      </c>
      <c r="H89" s="74"/>
      <c r="I89" s="106">
        <f>'1.Reel GSYH '!K86/'1.Reel GSYH '!$B86*100</f>
        <v>140.77032190378787</v>
      </c>
      <c r="J89" s="98"/>
      <c r="K89" s="53">
        <f>'1.Reel GSYH '!M86/'1.Reel GSYH '!$B86*100</f>
        <v>0</v>
      </c>
      <c r="L89" s="106">
        <f>'1.Reel GSYH '!N86/'1.Reel GSYH '!$B86*100</f>
        <v>0</v>
      </c>
      <c r="M89" s="106">
        <f>'1.Reel GSYH '!O86/'1.Reel GSYH '!$B86*100</f>
        <v>0</v>
      </c>
      <c r="N89" s="106">
        <f>'1.Reel GSYH '!P86/'1.Reel GSYH '!$B86*100</f>
        <v>0</v>
      </c>
      <c r="O89" s="106">
        <f>'1.Reel GSYH '!Q86/'1.Reel GSYH '!$B86*100</f>
        <v>0</v>
      </c>
      <c r="P89" s="106">
        <f>'1.Reel GSYH '!R86/'1.Reel GSYH '!$B86*100</f>
        <v>0</v>
      </c>
      <c r="Q89" s="107">
        <f>'1.Reel GSYH '!S86/'1.Reel GSYH '!$B86*100</f>
        <v>0</v>
      </c>
      <c r="R89" s="98"/>
      <c r="S89" s="106">
        <f>'1.Reel GSYH '!U86/'1.Reel GSYH '!$B86*100</f>
        <v>0</v>
      </c>
      <c r="T89" s="77"/>
      <c r="U89" s="53">
        <f>'1.Reel GSYH '!W86/'1.Reel GSYH '!$B86*100</f>
        <v>244.87299566069646</v>
      </c>
      <c r="V89" s="106">
        <f>'1.Reel GSYH '!X86/'1.Reel GSYH '!$B86*100</f>
        <v>285.64439462367079</v>
      </c>
      <c r="W89" s="106">
        <f>'1.Reel GSYH '!Y86/'1.Reel GSYH '!$B86*100</f>
        <v>-40.771398962974388</v>
      </c>
      <c r="X89" s="108">
        <f t="shared" si="3"/>
        <v>530.51739028436725</v>
      </c>
    </row>
    <row r="90" spans="1:24" ht="15.75" customHeight="1">
      <c r="A90" s="40" t="s">
        <v>78</v>
      </c>
      <c r="B90" s="103">
        <f t="shared" si="4"/>
        <v>222777.90059948876</v>
      </c>
      <c r="C90" s="202">
        <v>17876.3</v>
      </c>
      <c r="D90" s="201">
        <v>24778.1</v>
      </c>
      <c r="E90" s="202">
        <v>83205.2</v>
      </c>
      <c r="F90" s="201">
        <v>96918.3</v>
      </c>
      <c r="G90" s="107">
        <f>'1.Reel GSYH '!I87/'1.Reel GSYH '!$B87*100</f>
        <v>5.9948874808998852E-4</v>
      </c>
      <c r="H90" s="74"/>
      <c r="I90" s="106">
        <f>'1.Reel GSYH '!K87/'1.Reel GSYH '!$B87*100</f>
        <v>135.80147356526049</v>
      </c>
      <c r="J90" s="98"/>
      <c r="K90" s="53">
        <f>'1.Reel GSYH '!M87/'1.Reel GSYH '!$B87*100</f>
        <v>0</v>
      </c>
      <c r="L90" s="106">
        <f>'1.Reel GSYH '!N87/'1.Reel GSYH '!$B87*100</f>
        <v>0</v>
      </c>
      <c r="M90" s="106">
        <f>'1.Reel GSYH '!O87/'1.Reel GSYH '!$B87*100</f>
        <v>0</v>
      </c>
      <c r="N90" s="106">
        <f>'1.Reel GSYH '!P87/'1.Reel GSYH '!$B87*100</f>
        <v>0</v>
      </c>
      <c r="O90" s="106">
        <f>'1.Reel GSYH '!Q87/'1.Reel GSYH '!$B87*100</f>
        <v>0</v>
      </c>
      <c r="P90" s="106">
        <f>'1.Reel GSYH '!R87/'1.Reel GSYH '!$B87*100</f>
        <v>0</v>
      </c>
      <c r="Q90" s="107">
        <f>'1.Reel GSYH '!S87/'1.Reel GSYH '!$B87*100</f>
        <v>0</v>
      </c>
      <c r="R90" s="98"/>
      <c r="S90" s="106">
        <f>'1.Reel GSYH '!U87/'1.Reel GSYH '!$B87*100</f>
        <v>0</v>
      </c>
      <c r="T90" s="77"/>
      <c r="U90" s="53">
        <f>'1.Reel GSYH '!W87/'1.Reel GSYH '!$B87*100</f>
        <v>231.78045587816274</v>
      </c>
      <c r="V90" s="106">
        <f>'1.Reel GSYH '!X87/'1.Reel GSYH '!$B87*100</f>
        <v>267.58305212777015</v>
      </c>
      <c r="W90" s="106">
        <f>'1.Reel GSYH '!Y87/'1.Reel GSYH '!$B87*100</f>
        <v>-35.802596249607376</v>
      </c>
      <c r="X90" s="108">
        <f t="shared" si="3"/>
        <v>499.36350800593289</v>
      </c>
    </row>
    <row r="91" spans="1:24" ht="15.75" customHeight="1">
      <c r="A91" s="40" t="s">
        <v>79</v>
      </c>
      <c r="B91" s="103">
        <f t="shared" si="4"/>
        <v>217265.20052823483</v>
      </c>
      <c r="C91" s="202">
        <v>21628.9</v>
      </c>
      <c r="D91" s="201">
        <v>23720.3</v>
      </c>
      <c r="E91" s="202">
        <v>71171.100000000006</v>
      </c>
      <c r="F91" s="201">
        <v>100744.9</v>
      </c>
      <c r="G91" s="107">
        <f>'1.Reel GSYH '!I88/'1.Reel GSYH '!$B88*100</f>
        <v>5.2823480426271213E-4</v>
      </c>
      <c r="H91" s="74"/>
      <c r="I91" s="106">
        <f>'1.Reel GSYH '!K88/'1.Reel GSYH '!$B88*100</f>
        <v>124.49524128915451</v>
      </c>
      <c r="J91" s="98"/>
      <c r="K91" s="53">
        <f>'1.Reel GSYH '!M88/'1.Reel GSYH '!$B88*100</f>
        <v>0</v>
      </c>
      <c r="L91" s="106">
        <f>'1.Reel GSYH '!N88/'1.Reel GSYH '!$B88*100</f>
        <v>0</v>
      </c>
      <c r="M91" s="106">
        <f>'1.Reel GSYH '!O88/'1.Reel GSYH '!$B88*100</f>
        <v>0</v>
      </c>
      <c r="N91" s="106">
        <f>'1.Reel GSYH '!P88/'1.Reel GSYH '!$B88*100</f>
        <v>0</v>
      </c>
      <c r="O91" s="106">
        <f>'1.Reel GSYH '!Q88/'1.Reel GSYH '!$B88*100</f>
        <v>0</v>
      </c>
      <c r="P91" s="106">
        <f>'1.Reel GSYH '!R88/'1.Reel GSYH '!$B88*100</f>
        <v>0</v>
      </c>
      <c r="Q91" s="107">
        <f>'1.Reel GSYH '!S88/'1.Reel GSYH '!$B88*100</f>
        <v>0</v>
      </c>
      <c r="R91" s="98"/>
      <c r="S91" s="106">
        <f>'1.Reel GSYH '!U88/'1.Reel GSYH '!$B88*100</f>
        <v>0</v>
      </c>
      <c r="T91" s="77"/>
      <c r="U91" s="53">
        <f>'1.Reel GSYH '!W88/'1.Reel GSYH '!$B88*100</f>
        <v>213.66074076153635</v>
      </c>
      <c r="V91" s="106">
        <f>'1.Reel GSYH '!X88/'1.Reel GSYH '!$B88*100</f>
        <v>238.15697480168839</v>
      </c>
      <c r="W91" s="106">
        <f>'1.Reel GSYH '!Y88/'1.Reel GSYH '!$B88*100</f>
        <v>-24.496234040152061</v>
      </c>
      <c r="X91" s="108">
        <f t="shared" si="3"/>
        <v>451.81771556322474</v>
      </c>
    </row>
    <row r="92" spans="1:24" ht="15.75" customHeight="1">
      <c r="A92" s="40" t="s">
        <v>80</v>
      </c>
      <c r="B92" s="103">
        <f t="shared" si="4"/>
        <v>199945.90057887058</v>
      </c>
      <c r="C92" s="202">
        <v>19582.400000000001</v>
      </c>
      <c r="D92" s="201">
        <v>23518.2</v>
      </c>
      <c r="E92" s="202">
        <v>60923.3</v>
      </c>
      <c r="F92" s="201">
        <v>95922</v>
      </c>
      <c r="G92" s="107">
        <f>'1.Reel GSYH '!I89/'1.Reel GSYH '!$B89*100</f>
        <v>5.7887055596731515E-4</v>
      </c>
      <c r="H92" s="74"/>
      <c r="I92" s="106">
        <f>'1.Reel GSYH '!K89/'1.Reel GSYH '!$B89*100</f>
        <v>154.1084209151835</v>
      </c>
      <c r="J92" s="98"/>
      <c r="K92" s="53">
        <f>'1.Reel GSYH '!M89/'1.Reel GSYH '!$B89*100</f>
        <v>0</v>
      </c>
      <c r="L92" s="106">
        <f>'1.Reel GSYH '!N89/'1.Reel GSYH '!$B89*100</f>
        <v>0</v>
      </c>
      <c r="M92" s="106">
        <f>'1.Reel GSYH '!O89/'1.Reel GSYH '!$B89*100</f>
        <v>0</v>
      </c>
      <c r="N92" s="106">
        <f>'1.Reel GSYH '!P89/'1.Reel GSYH '!$B89*100</f>
        <v>0</v>
      </c>
      <c r="O92" s="106">
        <f>'1.Reel GSYH '!Q89/'1.Reel GSYH '!$B89*100</f>
        <v>0</v>
      </c>
      <c r="P92" s="106">
        <f>'1.Reel GSYH '!R89/'1.Reel GSYH '!$B89*100</f>
        <v>0</v>
      </c>
      <c r="Q92" s="107">
        <f>'1.Reel GSYH '!S89/'1.Reel GSYH '!$B89*100</f>
        <v>0</v>
      </c>
      <c r="R92" s="98"/>
      <c r="S92" s="106">
        <f>'1.Reel GSYH '!U89/'1.Reel GSYH '!$B89*100</f>
        <v>0</v>
      </c>
      <c r="T92" s="77"/>
      <c r="U92" s="53">
        <f>'1.Reel GSYH '!W89/'1.Reel GSYH '!$B89*100</f>
        <v>249.8090589404359</v>
      </c>
      <c r="V92" s="106">
        <f>'1.Reel GSYH '!X89/'1.Reel GSYH '!$B89*100</f>
        <v>303.91856066203064</v>
      </c>
      <c r="W92" s="106">
        <f>'1.Reel GSYH '!Y89/'1.Reel GSYH '!$B89*100</f>
        <v>-54.109501721594768</v>
      </c>
      <c r="X92" s="108">
        <f t="shared" si="3"/>
        <v>553.72761960246658</v>
      </c>
    </row>
    <row r="93" spans="1:24" ht="15.75" customHeight="1">
      <c r="A93" s="40" t="s">
        <v>81</v>
      </c>
      <c r="B93" s="103">
        <f t="shared" si="4"/>
        <v>220802.40062311324</v>
      </c>
      <c r="C93" s="202">
        <v>23535.3</v>
      </c>
      <c r="D93" s="201">
        <v>23940.5</v>
      </c>
      <c r="E93" s="202">
        <v>68391.399999999994</v>
      </c>
      <c r="F93" s="201">
        <v>104935.2</v>
      </c>
      <c r="G93" s="107">
        <f>'1.Reel GSYH '!I90/'1.Reel GSYH '!$B90*100</f>
        <v>6.2311323449597408E-4</v>
      </c>
      <c r="H93" s="74"/>
      <c r="I93" s="106">
        <f>'1.Reel GSYH '!K90/'1.Reel GSYH '!$B90*100</f>
        <v>151.22217862306204</v>
      </c>
      <c r="J93" s="98"/>
      <c r="K93" s="53">
        <f>'1.Reel GSYH '!M90/'1.Reel GSYH '!$B90*100</f>
        <v>0</v>
      </c>
      <c r="L93" s="106">
        <f>'1.Reel GSYH '!N90/'1.Reel GSYH '!$B90*100</f>
        <v>0</v>
      </c>
      <c r="M93" s="106">
        <f>'1.Reel GSYH '!O90/'1.Reel GSYH '!$B90*100</f>
        <v>0</v>
      </c>
      <c r="N93" s="106">
        <f>'1.Reel GSYH '!P90/'1.Reel GSYH '!$B90*100</f>
        <v>0</v>
      </c>
      <c r="O93" s="106">
        <f>'1.Reel GSYH '!Q90/'1.Reel GSYH '!$B90*100</f>
        <v>0</v>
      </c>
      <c r="P93" s="106">
        <f>'1.Reel GSYH '!R90/'1.Reel GSYH '!$B90*100</f>
        <v>0</v>
      </c>
      <c r="Q93" s="107">
        <f>'1.Reel GSYH '!S90/'1.Reel GSYH '!$B90*100</f>
        <v>0</v>
      </c>
      <c r="R93" s="98"/>
      <c r="S93" s="106">
        <f>'1.Reel GSYH '!U90/'1.Reel GSYH '!$B90*100</f>
        <v>0</v>
      </c>
      <c r="T93" s="77"/>
      <c r="U93" s="53">
        <f>'1.Reel GSYH '!W90/'1.Reel GSYH '!$B90*100</f>
        <v>260.75789421695345</v>
      </c>
      <c r="V93" s="106">
        <f>'1.Reel GSYH '!X90/'1.Reel GSYH '!$B90*100</f>
        <v>311.9812287679265</v>
      </c>
      <c r="W93" s="106">
        <f>'1.Reel GSYH '!Y90/'1.Reel GSYH '!$B90*100</f>
        <v>-51.223334550973043</v>
      </c>
      <c r="X93" s="108">
        <f t="shared" ref="X93:X106" si="5">(U93+V93)</f>
        <v>572.73912298487994</v>
      </c>
    </row>
    <row r="94" spans="1:24" ht="15.75" customHeight="1">
      <c r="A94" s="40" t="s">
        <v>82</v>
      </c>
      <c r="B94" s="103">
        <f t="shared" si="4"/>
        <v>242758.00068981311</v>
      </c>
      <c r="C94" s="202">
        <v>23758.7</v>
      </c>
      <c r="D94" s="201">
        <v>25858.7</v>
      </c>
      <c r="E94" s="202">
        <v>84546.9</v>
      </c>
      <c r="F94" s="201">
        <v>108593.7</v>
      </c>
      <c r="G94" s="107">
        <f>'1.Reel GSYH '!I91/'1.Reel GSYH '!$B91*100</f>
        <v>6.8981310033725722E-4</v>
      </c>
      <c r="H94" s="74"/>
      <c r="I94" s="106">
        <f>'1.Reel GSYH '!K91/'1.Reel GSYH '!$B91*100</f>
        <v>156.24364466180913</v>
      </c>
      <c r="J94" s="98"/>
      <c r="K94" s="53">
        <f>'1.Reel GSYH '!M91/'1.Reel GSYH '!$B91*100</f>
        <v>0</v>
      </c>
      <c r="L94" s="106">
        <f>'1.Reel GSYH '!N91/'1.Reel GSYH '!$B91*100</f>
        <v>0</v>
      </c>
      <c r="M94" s="106">
        <f>'1.Reel GSYH '!O91/'1.Reel GSYH '!$B91*100</f>
        <v>0</v>
      </c>
      <c r="N94" s="106">
        <f>'1.Reel GSYH '!P91/'1.Reel GSYH '!$B91*100</f>
        <v>0</v>
      </c>
      <c r="O94" s="106">
        <f>'1.Reel GSYH '!Q91/'1.Reel GSYH '!$B91*100</f>
        <v>0</v>
      </c>
      <c r="P94" s="106">
        <f>'1.Reel GSYH '!R91/'1.Reel GSYH '!$B91*100</f>
        <v>0</v>
      </c>
      <c r="Q94" s="107">
        <f>'1.Reel GSYH '!S91/'1.Reel GSYH '!$B91*100</f>
        <v>0</v>
      </c>
      <c r="R94" s="98"/>
      <c r="S94" s="106">
        <f>'1.Reel GSYH '!U91/'1.Reel GSYH '!$B91*100</f>
        <v>0</v>
      </c>
      <c r="T94" s="77"/>
      <c r="U94" s="53">
        <f>'1.Reel GSYH '!W91/'1.Reel GSYH '!$B91*100</f>
        <v>262.55192935094431</v>
      </c>
      <c r="V94" s="106">
        <f>'1.Reel GSYH '!X91/'1.Reel GSYH '!$B91*100</f>
        <v>318.79684015450204</v>
      </c>
      <c r="W94" s="106">
        <f>'1.Reel GSYH '!Y91/'1.Reel GSYH '!$B91*100</f>
        <v>-56.244910803557758</v>
      </c>
      <c r="X94" s="108">
        <f t="shared" si="5"/>
        <v>581.3487695054464</v>
      </c>
    </row>
    <row r="95" spans="1:24" ht="15.75" customHeight="1">
      <c r="A95" s="40" t="s">
        <v>83</v>
      </c>
      <c r="B95" s="103">
        <f t="shared" si="4"/>
        <v>233991.40066910814</v>
      </c>
      <c r="C95" s="202">
        <v>26917</v>
      </c>
      <c r="D95" s="201">
        <v>25418.400000000001</v>
      </c>
      <c r="E95" s="202">
        <v>73498.600000000006</v>
      </c>
      <c r="F95" s="201">
        <v>108157.4</v>
      </c>
      <c r="G95" s="107">
        <f>'1.Reel GSYH '!I92/'1.Reel GSYH '!$B92*100</f>
        <v>6.6910813972967267E-4</v>
      </c>
      <c r="H95" s="74"/>
      <c r="I95" s="106">
        <f>'1.Reel GSYH '!K92/'1.Reel GSYH '!$B92*100</f>
        <v>156.09584140255376</v>
      </c>
      <c r="J95" s="98"/>
      <c r="K95" s="53">
        <f>'1.Reel GSYH '!M92/'1.Reel GSYH '!$B92*100</f>
        <v>0</v>
      </c>
      <c r="L95" s="106">
        <f>'1.Reel GSYH '!N92/'1.Reel GSYH '!$B92*100</f>
        <v>0</v>
      </c>
      <c r="M95" s="106">
        <f>'1.Reel GSYH '!O92/'1.Reel GSYH '!$B92*100</f>
        <v>0</v>
      </c>
      <c r="N95" s="106">
        <f>'1.Reel GSYH '!P92/'1.Reel GSYH '!$B92*100</f>
        <v>0</v>
      </c>
      <c r="O95" s="106">
        <f>'1.Reel GSYH '!Q92/'1.Reel GSYH '!$B92*100</f>
        <v>0</v>
      </c>
      <c r="P95" s="106">
        <f>'1.Reel GSYH '!R92/'1.Reel GSYH '!$B92*100</f>
        <v>0</v>
      </c>
      <c r="Q95" s="107">
        <f>'1.Reel GSYH '!S92/'1.Reel GSYH '!$B92*100</f>
        <v>0</v>
      </c>
      <c r="R95" s="98"/>
      <c r="S95" s="106">
        <f>'1.Reel GSYH '!U92/'1.Reel GSYH '!$B92*100</f>
        <v>0</v>
      </c>
      <c r="T95" s="77"/>
      <c r="U95" s="53">
        <f>'1.Reel GSYH '!W92/'1.Reel GSYH '!$B92*100</f>
        <v>274.66371901674285</v>
      </c>
      <c r="V95" s="106">
        <f>'1.Reel GSYH '!X92/'1.Reel GSYH '!$B92*100</f>
        <v>330.76078507291993</v>
      </c>
      <c r="W95" s="106">
        <f>'1.Reel GSYH '!Y92/'1.Reel GSYH '!$B92*100</f>
        <v>-56.097066056177056</v>
      </c>
      <c r="X95" s="108">
        <f t="shared" si="5"/>
        <v>605.42450408966283</v>
      </c>
    </row>
    <row r="96" spans="1:24" ht="15.75" customHeight="1">
      <c r="A96" s="40" t="s">
        <v>84</v>
      </c>
      <c r="B96" s="103">
        <f t="shared" si="4"/>
        <v>205221.70044915381</v>
      </c>
      <c r="C96" s="202">
        <v>21557.200000000001</v>
      </c>
      <c r="D96" s="201">
        <v>23920.6</v>
      </c>
      <c r="E96" s="202">
        <v>59393.2</v>
      </c>
      <c r="F96" s="201">
        <v>100350.7</v>
      </c>
      <c r="G96" s="107">
        <f>'1.Reel GSYH '!I93/'1.Reel GSYH '!$B93*100</f>
        <v>4.4915380372078143E-4</v>
      </c>
      <c r="H96" s="74"/>
      <c r="I96" s="106">
        <f>'1.Reel GSYH '!K93/'1.Reel GSYH '!$B93*100</f>
        <v>127.74745277997582</v>
      </c>
      <c r="J96" s="98"/>
      <c r="K96" s="53">
        <f>'1.Reel GSYH '!M93/'1.Reel GSYH '!$B93*100</f>
        <v>0</v>
      </c>
      <c r="L96" s="106">
        <f>'1.Reel GSYH '!N93/'1.Reel GSYH '!$B93*100</f>
        <v>0</v>
      </c>
      <c r="M96" s="106">
        <f>'1.Reel GSYH '!O93/'1.Reel GSYH '!$B93*100</f>
        <v>0</v>
      </c>
      <c r="N96" s="106">
        <f>'1.Reel GSYH '!P93/'1.Reel GSYH '!$B93*100</f>
        <v>0</v>
      </c>
      <c r="O96" s="106">
        <f>'1.Reel GSYH '!Q93/'1.Reel GSYH '!$B93*100</f>
        <v>0</v>
      </c>
      <c r="P96" s="106">
        <f>'1.Reel GSYH '!R93/'1.Reel GSYH '!$B93*100</f>
        <v>0</v>
      </c>
      <c r="Q96" s="107">
        <f>'1.Reel GSYH '!S93/'1.Reel GSYH '!$B93*100</f>
        <v>0</v>
      </c>
      <c r="R96" s="98"/>
      <c r="S96" s="106">
        <f>'1.Reel GSYH '!U93/'1.Reel GSYH '!$B93*100</f>
        <v>0</v>
      </c>
      <c r="T96" s="77"/>
      <c r="U96" s="53">
        <f>'1.Reel GSYH '!W93/'1.Reel GSYH '!$B93*100</f>
        <v>235.26528585936632</v>
      </c>
      <c r="V96" s="106">
        <f>'1.Reel GSYH '!X93/'1.Reel GSYH '!$B93*100</f>
        <v>263.01355034777782</v>
      </c>
      <c r="W96" s="106">
        <f>'1.Reel GSYH '!Y93/'1.Reel GSYH '!$B93*100</f>
        <v>-27.748264488411493</v>
      </c>
      <c r="X96" s="108">
        <f t="shared" si="5"/>
        <v>498.27883620714414</v>
      </c>
    </row>
    <row r="97" spans="1:25" ht="15.75" customHeight="1">
      <c r="A97" s="40" t="s">
        <v>85</v>
      </c>
      <c r="B97" s="103">
        <f t="shared" si="4"/>
        <v>227535.40053119385</v>
      </c>
      <c r="C97" s="202">
        <v>23830.1</v>
      </c>
      <c r="D97" s="201">
        <v>25461.7</v>
      </c>
      <c r="E97" s="202">
        <v>70767.5</v>
      </c>
      <c r="F97" s="201">
        <v>107476.1</v>
      </c>
      <c r="G97" s="107">
        <f>'1.Reel GSYH '!I94/'1.Reel GSYH '!$B94*100</f>
        <v>5.3119383225471752E-4</v>
      </c>
      <c r="H97" s="74"/>
      <c r="I97" s="106">
        <f>'1.Reel GSYH '!K94/'1.Reel GSYH '!$B94*100</f>
        <v>127.95282566544894</v>
      </c>
      <c r="J97" s="98"/>
      <c r="K97" s="53">
        <f>'1.Reel GSYH '!M94/'1.Reel GSYH '!$B94*100</f>
        <v>0</v>
      </c>
      <c r="L97" s="106">
        <f>'1.Reel GSYH '!N94/'1.Reel GSYH '!$B94*100</f>
        <v>0</v>
      </c>
      <c r="M97" s="106">
        <f>'1.Reel GSYH '!O94/'1.Reel GSYH '!$B94*100</f>
        <v>0</v>
      </c>
      <c r="N97" s="106">
        <f>'1.Reel GSYH '!P94/'1.Reel GSYH '!$B94*100</f>
        <v>0</v>
      </c>
      <c r="O97" s="106">
        <f>'1.Reel GSYH '!Q94/'1.Reel GSYH '!$B94*100</f>
        <v>0</v>
      </c>
      <c r="P97" s="106">
        <f>'1.Reel GSYH '!R94/'1.Reel GSYH '!$B94*100</f>
        <v>0</v>
      </c>
      <c r="Q97" s="107">
        <f>'1.Reel GSYH '!S94/'1.Reel GSYH '!$B94*100</f>
        <v>0</v>
      </c>
      <c r="R97" s="98"/>
      <c r="S97" s="106">
        <f>'1.Reel GSYH '!U94/'1.Reel GSYH '!$B94*100</f>
        <v>0</v>
      </c>
      <c r="T97" s="77"/>
      <c r="U97" s="53">
        <f>'1.Reel GSYH '!W94/'1.Reel GSYH '!$B94*100</f>
        <v>234.82177145980577</v>
      </c>
      <c r="V97" s="106">
        <f>'1.Reel GSYH '!X94/'1.Reel GSYH '!$B94*100</f>
        <v>262.77554998106808</v>
      </c>
      <c r="W97" s="106">
        <f>'1.Reel GSYH '!Y94/'1.Reel GSYH '!$B94*100</f>
        <v>-27.953778521262311</v>
      </c>
      <c r="X97" s="108">
        <f t="shared" si="5"/>
        <v>497.59732144087388</v>
      </c>
    </row>
    <row r="98" spans="1:25" ht="15.75" customHeight="1">
      <c r="A98" s="40" t="s">
        <v>86</v>
      </c>
      <c r="B98" s="103">
        <f t="shared" si="4"/>
        <v>248888.80055840852</v>
      </c>
      <c r="C98" s="202">
        <v>23867.5</v>
      </c>
      <c r="D98" s="201">
        <v>26912.5</v>
      </c>
      <c r="E98" s="202">
        <v>84898.3</v>
      </c>
      <c r="F98" s="201">
        <v>113210.5</v>
      </c>
      <c r="G98" s="107">
        <f>'1.Reel GSYH '!I95/'1.Reel GSYH '!$B95*100</f>
        <v>5.5840853944672344E-4</v>
      </c>
      <c r="H98" s="74"/>
      <c r="I98" s="106">
        <f>'1.Reel GSYH '!K95/'1.Reel GSYH '!$B95*100</f>
        <v>126.52573427620246</v>
      </c>
      <c r="J98" s="98"/>
      <c r="K98" s="53">
        <f>'1.Reel GSYH '!M95/'1.Reel GSYH '!$B95*100</f>
        <v>0</v>
      </c>
      <c r="L98" s="106">
        <f>'1.Reel GSYH '!N95/'1.Reel GSYH '!$B95*100</f>
        <v>0</v>
      </c>
      <c r="M98" s="106">
        <f>'1.Reel GSYH '!O95/'1.Reel GSYH '!$B95*100</f>
        <v>0</v>
      </c>
      <c r="N98" s="106">
        <f>'1.Reel GSYH '!P95/'1.Reel GSYH '!$B95*100</f>
        <v>0</v>
      </c>
      <c r="O98" s="106">
        <f>'1.Reel GSYH '!Q95/'1.Reel GSYH '!$B95*100</f>
        <v>0</v>
      </c>
      <c r="P98" s="106">
        <f>'1.Reel GSYH '!R95/'1.Reel GSYH '!$B95*100</f>
        <v>0</v>
      </c>
      <c r="Q98" s="107">
        <f>'1.Reel GSYH '!S95/'1.Reel GSYH '!$B95*100</f>
        <v>0</v>
      </c>
      <c r="R98" s="98"/>
      <c r="S98" s="106">
        <f>'1.Reel GSYH '!U95/'1.Reel GSYH '!$B95*100</f>
        <v>0</v>
      </c>
      <c r="T98" s="77"/>
      <c r="U98" s="53">
        <f>'1.Reel GSYH '!W95/'1.Reel GSYH '!$B95*100</f>
        <v>223.12328227117067</v>
      </c>
      <c r="V98" s="106">
        <f>'1.Reel GSYH '!X95/'1.Reel GSYH '!$B95*100</f>
        <v>249.65000530688476</v>
      </c>
      <c r="W98" s="106">
        <f>'1.Reel GSYH '!Y95/'1.Reel GSYH '!$B95*100</f>
        <v>-26.526723035714095</v>
      </c>
      <c r="X98" s="108">
        <f t="shared" si="5"/>
        <v>472.77328757805543</v>
      </c>
    </row>
    <row r="99" spans="1:25" ht="15.75" customHeight="1">
      <c r="A99" s="40" t="s">
        <v>87</v>
      </c>
      <c r="B99" s="103">
        <f t="shared" si="4"/>
        <v>245917.80062039683</v>
      </c>
      <c r="C99" s="202">
        <v>29932.2</v>
      </c>
      <c r="D99" s="201">
        <v>24572.9</v>
      </c>
      <c r="E99" s="202">
        <v>77001.2</v>
      </c>
      <c r="F99" s="201">
        <v>114411.5</v>
      </c>
      <c r="G99" s="107">
        <f>'1.Reel GSYH '!I96/'1.Reel GSYH '!$B96*100</f>
        <v>6.2039683834622182E-4</v>
      </c>
      <c r="H99" s="74"/>
      <c r="I99" s="106">
        <f>'1.Reel GSYH '!K96/'1.Reel GSYH '!$B96*100</f>
        <v>144.95027758896578</v>
      </c>
      <c r="J99" s="98"/>
      <c r="K99" s="53">
        <f>'1.Reel GSYH '!M96/'1.Reel GSYH '!$B96*100</f>
        <v>0</v>
      </c>
      <c r="L99" s="106">
        <f>'1.Reel GSYH '!N96/'1.Reel GSYH '!$B96*100</f>
        <v>0</v>
      </c>
      <c r="M99" s="106">
        <f>'1.Reel GSYH '!O96/'1.Reel GSYH '!$B96*100</f>
        <v>0</v>
      </c>
      <c r="N99" s="106">
        <f>'1.Reel GSYH '!P96/'1.Reel GSYH '!$B96*100</f>
        <v>0</v>
      </c>
      <c r="O99" s="106">
        <f>'1.Reel GSYH '!Q96/'1.Reel GSYH '!$B96*100</f>
        <v>0</v>
      </c>
      <c r="P99" s="106">
        <f>'1.Reel GSYH '!R96/'1.Reel GSYH '!$B96*100</f>
        <v>0</v>
      </c>
      <c r="Q99" s="107">
        <f>'1.Reel GSYH '!S96/'1.Reel GSYH '!$B96*100</f>
        <v>0</v>
      </c>
      <c r="R99" s="98"/>
      <c r="S99" s="106">
        <f>'1.Reel GSYH '!U96/'1.Reel GSYH '!$B96*100</f>
        <v>0</v>
      </c>
      <c r="T99" s="77"/>
      <c r="U99" s="53">
        <f>'1.Reel GSYH '!W96/'1.Reel GSYH '!$B96*100</f>
        <v>254.22190856046871</v>
      </c>
      <c r="V99" s="106">
        <f>'1.Reel GSYH '!X96/'1.Reel GSYH '!$B96*100</f>
        <v>299.17329109196783</v>
      </c>
      <c r="W99" s="106">
        <f>'1.Reel GSYH '!Y96/'1.Reel GSYH '!$B96*100</f>
        <v>-44.9513825314991</v>
      </c>
      <c r="X99" s="108">
        <f t="shared" si="5"/>
        <v>553.39519965243653</v>
      </c>
    </row>
    <row r="100" spans="1:25" ht="15.75" customHeight="1">
      <c r="A100" s="40" t="s">
        <v>88</v>
      </c>
      <c r="B100" s="103">
        <f t="shared" si="4"/>
        <v>219927.40048145197</v>
      </c>
      <c r="C100" s="202">
        <v>24361.5</v>
      </c>
      <c r="D100" s="201">
        <v>25907.599999999999</v>
      </c>
      <c r="E100" s="202">
        <v>64637.599999999999</v>
      </c>
      <c r="F100" s="201">
        <v>105020.7</v>
      </c>
      <c r="G100" s="107">
        <f>'1.Reel GSYH '!I97/'1.Reel GSYH '!$B97*100</f>
        <v>4.814519746036334E-4</v>
      </c>
      <c r="H100" s="74"/>
      <c r="I100" s="106">
        <f>'1.Reel GSYH '!K97/'1.Reel GSYH '!$B97*100</f>
        <v>119.77448206544447</v>
      </c>
      <c r="J100" s="98"/>
      <c r="K100" s="53">
        <f>'1.Reel GSYH '!M97/'1.Reel GSYH '!$B97*100</f>
        <v>0</v>
      </c>
      <c r="L100" s="106">
        <f>'1.Reel GSYH '!N97/'1.Reel GSYH '!$B97*100</f>
        <v>0</v>
      </c>
      <c r="M100" s="106">
        <f>'1.Reel GSYH '!O97/'1.Reel GSYH '!$B97*100</f>
        <v>0</v>
      </c>
      <c r="N100" s="106">
        <f>'1.Reel GSYH '!P97/'1.Reel GSYH '!$B97*100</f>
        <v>0</v>
      </c>
      <c r="O100" s="106">
        <f>'1.Reel GSYH '!Q97/'1.Reel GSYH '!$B97*100</f>
        <v>0</v>
      </c>
      <c r="P100" s="106">
        <f>'1.Reel GSYH '!R97/'1.Reel GSYH '!$B97*100</f>
        <v>0</v>
      </c>
      <c r="Q100" s="107">
        <f>'1.Reel GSYH '!S97/'1.Reel GSYH '!$B97*100</f>
        <v>0</v>
      </c>
      <c r="R100" s="98"/>
      <c r="S100" s="106">
        <f>'1.Reel GSYH '!U97/'1.Reel GSYH '!$B97*100</f>
        <v>0</v>
      </c>
      <c r="T100" s="77"/>
      <c r="U100" s="53">
        <f>'1.Reel GSYH '!W97/'1.Reel GSYH '!$B97*100</f>
        <v>225.1226527964152</v>
      </c>
      <c r="V100" s="106">
        <f>'1.Reel GSYH '!X97/'1.Reel GSYH '!$B97*100</f>
        <v>244.89798111887612</v>
      </c>
      <c r="W100" s="106">
        <f>'1.Reel GSYH '!Y97/'1.Reel GSYH '!$B97*100</f>
        <v>-19.775328322460936</v>
      </c>
      <c r="X100" s="108">
        <f t="shared" si="5"/>
        <v>470.02063391529134</v>
      </c>
    </row>
    <row r="101" spans="1:25" ht="15.75" customHeight="1">
      <c r="A101" s="40" t="s">
        <v>89</v>
      </c>
      <c r="B101" s="103">
        <f t="shared" si="4"/>
        <v>237866.50048481193</v>
      </c>
      <c r="C101" s="202">
        <v>27882.5</v>
      </c>
      <c r="D101" s="201">
        <v>24602.9</v>
      </c>
      <c r="E101" s="202">
        <v>74999</v>
      </c>
      <c r="F101" s="201">
        <v>110382.1</v>
      </c>
      <c r="G101" s="107">
        <f>'1.Reel GSYH '!I98/'1.Reel GSYH '!$B98*100</f>
        <v>4.8481193378317061E-4</v>
      </c>
      <c r="H101" s="74"/>
      <c r="I101" s="106">
        <f>'1.Reel GSYH '!K98/'1.Reel GSYH '!$B98*100</f>
        <v>119.05424577084354</v>
      </c>
      <c r="J101" s="98"/>
      <c r="K101" s="53">
        <f>'1.Reel GSYH '!M98/'1.Reel GSYH '!$B98*100</f>
        <v>0</v>
      </c>
      <c r="L101" s="106">
        <f>'1.Reel GSYH '!N98/'1.Reel GSYH '!$B98*100</f>
        <v>0</v>
      </c>
      <c r="M101" s="106">
        <f>'1.Reel GSYH '!O98/'1.Reel GSYH '!$B98*100</f>
        <v>0</v>
      </c>
      <c r="N101" s="106">
        <f>'1.Reel GSYH '!P98/'1.Reel GSYH '!$B98*100</f>
        <v>0</v>
      </c>
      <c r="O101" s="106">
        <f>'1.Reel GSYH '!Q98/'1.Reel GSYH '!$B98*100</f>
        <v>0</v>
      </c>
      <c r="P101" s="106">
        <f>'1.Reel GSYH '!R98/'1.Reel GSYH '!$B98*100</f>
        <v>0</v>
      </c>
      <c r="Q101" s="107">
        <f>'1.Reel GSYH '!S98/'1.Reel GSYH '!$B98*100</f>
        <v>0</v>
      </c>
      <c r="R101" s="98"/>
      <c r="S101" s="106">
        <f>'1.Reel GSYH '!U98/'1.Reel GSYH '!$B98*100</f>
        <v>0</v>
      </c>
      <c r="T101" s="77"/>
      <c r="U101" s="53">
        <f>'1.Reel GSYH '!W98/'1.Reel GSYH '!$B98*100</f>
        <v>214.90872620773609</v>
      </c>
      <c r="V101" s="106">
        <f>'1.Reel GSYH '!X98/'1.Reel GSYH '!$B98*100</f>
        <v>233.96381398121392</v>
      </c>
      <c r="W101" s="106">
        <f>'1.Reel GSYH '!Y98/'1.Reel GSYH '!$B98*100</f>
        <v>-19.055087773477783</v>
      </c>
      <c r="X101" s="108">
        <f t="shared" si="5"/>
        <v>448.87254018894998</v>
      </c>
    </row>
    <row r="102" spans="1:25" ht="15.75" customHeight="1">
      <c r="A102" s="40" t="s">
        <v>90</v>
      </c>
      <c r="B102" s="103">
        <f t="shared" si="4"/>
        <v>258152.0004872607</v>
      </c>
      <c r="C102" s="202">
        <v>26913.8</v>
      </c>
      <c r="D102" s="201">
        <v>24477.4</v>
      </c>
      <c r="E102" s="202">
        <v>90193.4</v>
      </c>
      <c r="F102" s="201">
        <v>116567.4</v>
      </c>
      <c r="G102" s="107">
        <f>'1.Reel GSYH '!I99/'1.Reel GSYH '!$B99*100</f>
        <v>4.8726071877695359E-4</v>
      </c>
      <c r="H102" s="74"/>
      <c r="I102" s="106">
        <f>'1.Reel GSYH '!K99/'1.Reel GSYH '!$B99*100</f>
        <v>112.94993095423813</v>
      </c>
      <c r="J102" s="98"/>
      <c r="K102" s="53">
        <f>'1.Reel GSYH '!M99/'1.Reel GSYH '!$B99*100</f>
        <v>0</v>
      </c>
      <c r="L102" s="106">
        <f>'1.Reel GSYH '!N99/'1.Reel GSYH '!$B99*100</f>
        <v>0</v>
      </c>
      <c r="M102" s="106">
        <f>'1.Reel GSYH '!O99/'1.Reel GSYH '!$B99*100</f>
        <v>0</v>
      </c>
      <c r="N102" s="106">
        <f>'1.Reel GSYH '!P99/'1.Reel GSYH '!$B99*100</f>
        <v>0</v>
      </c>
      <c r="O102" s="106">
        <f>'1.Reel GSYH '!Q99/'1.Reel GSYH '!$B99*100</f>
        <v>0</v>
      </c>
      <c r="P102" s="106">
        <f>'1.Reel GSYH '!R99/'1.Reel GSYH '!$B99*100</f>
        <v>0</v>
      </c>
      <c r="Q102" s="107">
        <f>'1.Reel GSYH '!S99/'1.Reel GSYH '!$B99*100</f>
        <v>0</v>
      </c>
      <c r="R102" s="98"/>
      <c r="S102" s="106">
        <f>'1.Reel GSYH '!U99/'1.Reel GSYH '!$B99*100</f>
        <v>0</v>
      </c>
      <c r="T102" s="77"/>
      <c r="U102" s="53">
        <f>'1.Reel GSYH '!W99/'1.Reel GSYH '!$B99*100</f>
        <v>200.89351895735626</v>
      </c>
      <c r="V102" s="106">
        <f>'1.Reel GSYH '!X99/'1.Reel GSYH '!$B99*100</f>
        <v>213.84428565450122</v>
      </c>
      <c r="W102" s="106">
        <f>'1.Reel GSYH '!Y99/'1.Reel GSYH '!$B99*100</f>
        <v>-12.950766697144914</v>
      </c>
      <c r="X102" s="108">
        <f t="shared" si="5"/>
        <v>414.73780461185748</v>
      </c>
    </row>
    <row r="103" spans="1:25" ht="15.75" customHeight="1">
      <c r="A103" s="40" t="s">
        <v>91</v>
      </c>
      <c r="B103" s="103">
        <f t="shared" si="4"/>
        <v>258571.80047240984</v>
      </c>
      <c r="C103" s="202">
        <v>30267.5</v>
      </c>
      <c r="D103" s="201">
        <v>27983.1</v>
      </c>
      <c r="E103" s="202">
        <v>81408</v>
      </c>
      <c r="F103" s="201">
        <v>118913.2</v>
      </c>
      <c r="G103" s="107">
        <f>'1.Reel GSYH '!I100/'1.Reel GSYH '!$B100*100</f>
        <v>4.7240984395808985E-4</v>
      </c>
      <c r="H103" s="74"/>
      <c r="I103" s="106">
        <f>'1.Reel GSYH '!K100/'1.Reel GSYH '!$B100*100</f>
        <v>117.67141678375989</v>
      </c>
      <c r="J103" s="98"/>
      <c r="K103" s="53">
        <f>'1.Reel GSYH '!M100/'1.Reel GSYH '!$B100*100</f>
        <v>0</v>
      </c>
      <c r="L103" s="106">
        <f>'1.Reel GSYH '!N100/'1.Reel GSYH '!$B100*100</f>
        <v>0</v>
      </c>
      <c r="M103" s="106">
        <f>'1.Reel GSYH '!O100/'1.Reel GSYH '!$B100*100</f>
        <v>0</v>
      </c>
      <c r="N103" s="106">
        <f>'1.Reel GSYH '!P100/'1.Reel GSYH '!$B100*100</f>
        <v>0</v>
      </c>
      <c r="O103" s="106">
        <f>'1.Reel GSYH '!Q100/'1.Reel GSYH '!$B100*100</f>
        <v>0</v>
      </c>
      <c r="P103" s="106">
        <f>'1.Reel GSYH '!R100/'1.Reel GSYH '!$B100*100</f>
        <v>0</v>
      </c>
      <c r="Q103" s="107">
        <f>'1.Reel GSYH '!S100/'1.Reel GSYH '!$B100*100</f>
        <v>0</v>
      </c>
      <c r="R103" s="98"/>
      <c r="S103" s="106">
        <f>'1.Reel GSYH '!U100/'1.Reel GSYH '!$B100*100</f>
        <v>0</v>
      </c>
      <c r="T103" s="77"/>
      <c r="U103" s="53">
        <f>'1.Reel GSYH '!W100/'1.Reel GSYH '!$B100*100</f>
        <v>196.22489509324393</v>
      </c>
      <c r="V103" s="106">
        <f>'1.Reel GSYH '!X100/'1.Reel GSYH '!$B100*100</f>
        <v>213.89712466940711</v>
      </c>
      <c r="W103" s="106">
        <f>'1.Reel GSYH '!Y100/'1.Reel GSYH '!$B100*100</f>
        <v>-17.672229576163172</v>
      </c>
      <c r="X103" s="108">
        <f t="shared" si="5"/>
        <v>410.12201976265101</v>
      </c>
    </row>
    <row r="104" spans="1:25" ht="15.75" customHeight="1">
      <c r="A104" s="40" t="s">
        <v>92</v>
      </c>
      <c r="B104" s="103">
        <f t="shared" si="4"/>
        <v>224101.30039039106</v>
      </c>
      <c r="C104" s="202">
        <v>23996.9</v>
      </c>
      <c r="D104" s="201">
        <v>26561.9</v>
      </c>
      <c r="E104" s="202">
        <v>66838.899999999994</v>
      </c>
      <c r="F104" s="201">
        <v>106703.6</v>
      </c>
      <c r="G104" s="107">
        <f>'1.Reel GSYH '!I101/'1.Reel GSYH '!$B101*100</f>
        <v>3.9039106064802032E-4</v>
      </c>
      <c r="H104" s="74"/>
      <c r="I104" s="106">
        <f>'1.Reel GSYH '!K101/'1.Reel GSYH '!$B101*100</f>
        <v>114.04877014498756</v>
      </c>
      <c r="J104" s="98"/>
      <c r="K104" s="53">
        <f>'1.Reel GSYH '!M101/'1.Reel GSYH '!$B101*100</f>
        <v>0</v>
      </c>
      <c r="L104" s="106">
        <f>'1.Reel GSYH '!N101/'1.Reel GSYH '!$B101*100</f>
        <v>0</v>
      </c>
      <c r="M104" s="106">
        <f>'1.Reel GSYH '!O101/'1.Reel GSYH '!$B101*100</f>
        <v>0</v>
      </c>
      <c r="N104" s="106">
        <f>'1.Reel GSYH '!P101/'1.Reel GSYH '!$B101*100</f>
        <v>0</v>
      </c>
      <c r="O104" s="106">
        <f>'1.Reel GSYH '!Q101/'1.Reel GSYH '!$B101*100</f>
        <v>0</v>
      </c>
      <c r="P104" s="106">
        <f>'1.Reel GSYH '!R101/'1.Reel GSYH '!$B101*100</f>
        <v>0</v>
      </c>
      <c r="Q104" s="107">
        <f>'1.Reel GSYH '!S101/'1.Reel GSYH '!$B101*100</f>
        <v>0</v>
      </c>
      <c r="R104" s="98"/>
      <c r="S104" s="106">
        <f>'1.Reel GSYH '!U101/'1.Reel GSYH '!$B101*100</f>
        <v>0</v>
      </c>
      <c r="T104" s="77"/>
      <c r="U104" s="53">
        <f>'1.Reel GSYH '!W101/'1.Reel GSYH '!$B101*100</f>
        <v>182.40079573051068</v>
      </c>
      <c r="V104" s="106">
        <f>'1.Reel GSYH '!X101/'1.Reel GSYH '!$B101*100</f>
        <v>196.45023102367466</v>
      </c>
      <c r="W104" s="106">
        <f>'1.Reel GSYH '!Y101/'1.Reel GSYH '!$B101*100</f>
        <v>-14.049435293163976</v>
      </c>
      <c r="X104" s="108">
        <f t="shared" si="5"/>
        <v>378.85102675418534</v>
      </c>
    </row>
    <row r="105" spans="1:25" ht="15.75" customHeight="1">
      <c r="A105" s="40" t="s">
        <v>106</v>
      </c>
      <c r="B105" s="103">
        <f t="shared" si="4"/>
        <v>245485.70043164346</v>
      </c>
      <c r="C105" s="202">
        <v>26974.2</v>
      </c>
      <c r="D105" s="201">
        <v>27172.3</v>
      </c>
      <c r="E105" s="202">
        <v>77792</v>
      </c>
      <c r="F105" s="201">
        <v>113547.2</v>
      </c>
      <c r="G105" s="107">
        <f>'1.Reel GSYH '!I102/'1.Reel GSYH '!$B102*100</f>
        <v>4.3164343605123126E-4</v>
      </c>
      <c r="H105" s="74"/>
      <c r="I105" s="106">
        <f>'1.Reel GSYH '!K102/'1.Reel GSYH '!$B102*100</f>
        <v>121.02117228047375</v>
      </c>
      <c r="J105" s="98"/>
      <c r="K105" s="53">
        <f>'1.Reel GSYH '!M102/'1.Reel GSYH '!$B102*100</f>
        <v>0</v>
      </c>
      <c r="L105" s="106">
        <f>'1.Reel GSYH '!N102/'1.Reel GSYH '!$B102*100</f>
        <v>0</v>
      </c>
      <c r="M105" s="106">
        <f>'1.Reel GSYH '!O102/'1.Reel GSYH '!$B102*100</f>
        <v>0</v>
      </c>
      <c r="N105" s="106">
        <f>'1.Reel GSYH '!P102/'1.Reel GSYH '!$B102*100</f>
        <v>0</v>
      </c>
      <c r="O105" s="106">
        <f>'1.Reel GSYH '!Q102/'1.Reel GSYH '!$B102*100</f>
        <v>0</v>
      </c>
      <c r="P105" s="106">
        <f>'1.Reel GSYH '!R102/'1.Reel GSYH '!$B102*100</f>
        <v>0</v>
      </c>
      <c r="Q105" s="107">
        <f>'1.Reel GSYH '!S102/'1.Reel GSYH '!$B102*100</f>
        <v>0</v>
      </c>
      <c r="R105" s="98"/>
      <c r="S105" s="106">
        <f>'1.Reel GSYH '!U102/'1.Reel GSYH '!$B102*100</f>
        <v>0</v>
      </c>
      <c r="T105" s="77"/>
      <c r="U105" s="53">
        <f>'1.Reel GSYH '!W102/'1.Reel GSYH '!$B102*100</f>
        <v>181.11152608013307</v>
      </c>
      <c r="V105" s="106">
        <f>'1.Reel GSYH '!X102/'1.Reel GSYH '!$B102*100</f>
        <v>202.13343188127939</v>
      </c>
      <c r="W105" s="106">
        <f>'1.Reel GSYH '!Y102/'1.Reel GSYH '!$B102*100</f>
        <v>-21.021905801146328</v>
      </c>
      <c r="X105" s="108">
        <f t="shared" si="5"/>
        <v>383.24495796141247</v>
      </c>
    </row>
    <row r="106" spans="1:25" ht="15.75" customHeight="1" thickBot="1">
      <c r="A106" s="90" t="s">
        <v>127</v>
      </c>
      <c r="B106" s="110">
        <f t="shared" si="4"/>
        <v>253664.60048219992</v>
      </c>
      <c r="C106" s="202">
        <v>23443</v>
      </c>
      <c r="D106" s="201">
        <v>25604.2</v>
      </c>
      <c r="E106" s="202">
        <v>90550.399999999994</v>
      </c>
      <c r="F106" s="201">
        <v>114067</v>
      </c>
      <c r="G106" s="113">
        <f>'1.Reel GSYH '!I103/'1.Reel GSYH '!$B103*100</f>
        <v>4.8219995308759045E-4</v>
      </c>
      <c r="H106" s="93"/>
      <c r="I106" s="111">
        <f>'1.Reel GSYH '!K103/'1.Reel GSYH '!$B103*100</f>
        <v>119.22321404584346</v>
      </c>
      <c r="J106" s="90"/>
      <c r="K106" s="112">
        <f>'1.Reel GSYH '!M103/'1.Reel GSYH '!$B103*100</f>
        <v>0</v>
      </c>
      <c r="L106" s="111">
        <f>'1.Reel GSYH '!N103/'1.Reel GSYH '!$B103*100</f>
        <v>0</v>
      </c>
      <c r="M106" s="111">
        <f>'1.Reel GSYH '!O103/'1.Reel GSYH '!$B103*100</f>
        <v>0</v>
      </c>
      <c r="N106" s="111">
        <f>'1.Reel GSYH '!P103/'1.Reel GSYH '!$B103*100</f>
        <v>0</v>
      </c>
      <c r="O106" s="111">
        <f>'1.Reel GSYH '!Q103/'1.Reel GSYH '!$B103*100</f>
        <v>0</v>
      </c>
      <c r="P106" s="111">
        <f>'1.Reel GSYH '!R103/'1.Reel GSYH '!$B103*100</f>
        <v>0</v>
      </c>
      <c r="Q106" s="113">
        <f>'1.Reel GSYH '!S103/'1.Reel GSYH '!$B103*100</f>
        <v>0</v>
      </c>
      <c r="R106" s="90"/>
      <c r="S106" s="111">
        <f>'1.Reel GSYH '!U103/'1.Reel GSYH '!$B103*100</f>
        <v>0</v>
      </c>
      <c r="T106" s="93"/>
      <c r="U106" s="112">
        <f>'1.Reel GSYH '!W103/'1.Reel GSYH '!$B103*100</f>
        <v>176.90826154203882</v>
      </c>
      <c r="V106" s="111">
        <f>'1.Reel GSYH '!X103/'1.Reel GSYH '!$B103*100</f>
        <v>196.13227969541583</v>
      </c>
      <c r="W106" s="111">
        <f>'1.Reel GSYH '!Y103/'1.Reel GSYH '!$B103*100</f>
        <v>-19.224018153377003</v>
      </c>
      <c r="X106" s="114">
        <f t="shared" si="5"/>
        <v>373.04054123745465</v>
      </c>
    </row>
    <row r="107" spans="1:25" ht="15.75" customHeight="1">
      <c r="B107" s="115"/>
      <c r="C107" s="54"/>
      <c r="D107" s="106"/>
      <c r="E107" s="106"/>
      <c r="F107" s="106"/>
      <c r="G107" s="106"/>
      <c r="H107" s="77"/>
      <c r="I107" s="116"/>
      <c r="J107" s="98"/>
      <c r="K107" s="116"/>
      <c r="L107" s="106"/>
      <c r="M107" s="106"/>
      <c r="N107" s="106"/>
      <c r="O107" s="106"/>
      <c r="P107" s="106"/>
      <c r="Q107" s="106"/>
      <c r="R107" s="117"/>
      <c r="S107" s="116"/>
      <c r="T107" s="118"/>
      <c r="U107" s="116"/>
      <c r="V107" s="106"/>
      <c r="W107" s="106"/>
      <c r="X107" s="115"/>
      <c r="Y107" s="98"/>
    </row>
    <row r="108" spans="1:25" ht="15.75" customHeight="1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</row>
    <row r="109" spans="1:25" ht="15.75" customHeight="1" thickBot="1">
      <c r="A109" s="119" t="s">
        <v>237</v>
      </c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</row>
    <row r="110" spans="1:25" ht="15.75" customHeight="1">
      <c r="A110" s="120" t="s">
        <v>99</v>
      </c>
      <c r="B110" s="118" t="e">
        <f>AVERAGE(B32:B47)</f>
        <v>#DIV/0!</v>
      </c>
      <c r="C110" s="118" t="e">
        <f t="shared" ref="C110:X110" si="6">AVERAGE(C32:C47)</f>
        <v>#DIV/0!</v>
      </c>
      <c r="D110" s="118" t="e">
        <f>AVERAGE(D32:D47)</f>
        <v>#DIV/0!</v>
      </c>
      <c r="E110" s="118" t="e">
        <f t="shared" si="6"/>
        <v>#DIV/0!</v>
      </c>
      <c r="F110" s="118" t="e">
        <f t="shared" si="6"/>
        <v>#DIV/0!</v>
      </c>
      <c r="G110" s="118" t="e">
        <f>AVERAGE(G32:G47)</f>
        <v>#DIV/0!</v>
      </c>
      <c r="H110" s="118"/>
      <c r="I110" s="118" t="e">
        <f t="shared" si="6"/>
        <v>#DIV/0!</v>
      </c>
      <c r="J110" s="118"/>
      <c r="K110" s="118" t="e">
        <f t="shared" si="6"/>
        <v>#DIV/0!</v>
      </c>
      <c r="L110" s="118" t="e">
        <f t="shared" si="6"/>
        <v>#DIV/0!</v>
      </c>
      <c r="M110" s="118" t="e">
        <f t="shared" si="6"/>
        <v>#DIV/0!</v>
      </c>
      <c r="N110" s="118" t="e">
        <f t="shared" si="6"/>
        <v>#DIV/0!</v>
      </c>
      <c r="O110" s="118" t="e">
        <f t="shared" si="6"/>
        <v>#DIV/0!</v>
      </c>
      <c r="P110" s="118" t="e">
        <f t="shared" si="6"/>
        <v>#DIV/0!</v>
      </c>
      <c r="Q110" s="118" t="e">
        <f t="shared" si="6"/>
        <v>#DIV/0!</v>
      </c>
      <c r="R110" s="118"/>
      <c r="S110" s="118" t="e">
        <f t="shared" si="6"/>
        <v>#DIV/0!</v>
      </c>
      <c r="T110" s="118"/>
      <c r="U110" s="118" t="e">
        <f t="shared" si="6"/>
        <v>#DIV/0!</v>
      </c>
      <c r="V110" s="118" t="e">
        <f t="shared" si="6"/>
        <v>#DIV/0!</v>
      </c>
      <c r="W110" s="118" t="e">
        <f t="shared" si="6"/>
        <v>#DIV/0!</v>
      </c>
      <c r="X110" s="121" t="e">
        <f t="shared" si="6"/>
        <v>#DIV/0!</v>
      </c>
    </row>
    <row r="111" spans="1:25" ht="15.75" customHeight="1">
      <c r="A111" s="122" t="s">
        <v>100</v>
      </c>
      <c r="B111" s="77" t="e">
        <f>AVERAGE(B48:B63)</f>
        <v>#DIV/0!</v>
      </c>
      <c r="C111" s="77" t="e">
        <f t="shared" ref="C111:X111" si="7">AVERAGE(C48:C63)</f>
        <v>#DIV/0!</v>
      </c>
      <c r="D111" s="77" t="e">
        <f>AVERAGE(D48:D63)</f>
        <v>#DIV/0!</v>
      </c>
      <c r="E111" s="77" t="e">
        <f t="shared" si="7"/>
        <v>#DIV/0!</v>
      </c>
      <c r="F111" s="77" t="e">
        <f t="shared" si="7"/>
        <v>#DIV/0!</v>
      </c>
      <c r="G111" s="77" t="e">
        <f>AVERAGE(G48:G63)</f>
        <v>#DIV/0!</v>
      </c>
      <c r="H111" s="77"/>
      <c r="I111" s="77" t="e">
        <f t="shared" si="7"/>
        <v>#DIV/0!</v>
      </c>
      <c r="J111" s="77"/>
      <c r="K111" s="77" t="e">
        <f t="shared" si="7"/>
        <v>#DIV/0!</v>
      </c>
      <c r="L111" s="77" t="e">
        <f t="shared" si="7"/>
        <v>#DIV/0!</v>
      </c>
      <c r="M111" s="77" t="e">
        <f t="shared" si="7"/>
        <v>#DIV/0!</v>
      </c>
      <c r="N111" s="77" t="e">
        <f t="shared" si="7"/>
        <v>#DIV/0!</v>
      </c>
      <c r="O111" s="77" t="e">
        <f t="shared" si="7"/>
        <v>#DIV/0!</v>
      </c>
      <c r="P111" s="77" t="e">
        <f t="shared" si="7"/>
        <v>#DIV/0!</v>
      </c>
      <c r="Q111" s="77" t="e">
        <f t="shared" si="7"/>
        <v>#DIV/0!</v>
      </c>
      <c r="R111" s="77"/>
      <c r="S111" s="77" t="e">
        <f t="shared" si="7"/>
        <v>#DIV/0!</v>
      </c>
      <c r="T111" s="77"/>
      <c r="U111" s="77" t="e">
        <f t="shared" si="7"/>
        <v>#DIV/0!</v>
      </c>
      <c r="V111" s="77" t="e">
        <f t="shared" si="7"/>
        <v>#DIV/0!</v>
      </c>
      <c r="W111" s="77" t="e">
        <f t="shared" si="7"/>
        <v>#DIV/0!</v>
      </c>
      <c r="X111" s="79" t="e">
        <f t="shared" si="7"/>
        <v>#DIV/0!</v>
      </c>
    </row>
    <row r="112" spans="1:25" ht="15.75" customHeight="1">
      <c r="A112" s="122" t="s">
        <v>101</v>
      </c>
      <c r="B112" s="77" t="e">
        <f>AVERAGE(B64:B79)</f>
        <v>#DIV/0!</v>
      </c>
      <c r="C112" s="77" t="e">
        <f t="shared" ref="C112:X112" si="8">AVERAGE(C64:C79)</f>
        <v>#DIV/0!</v>
      </c>
      <c r="D112" s="77" t="e">
        <f>AVERAGE(D64:D79)</f>
        <v>#DIV/0!</v>
      </c>
      <c r="E112" s="77" t="e">
        <f t="shared" si="8"/>
        <v>#DIV/0!</v>
      </c>
      <c r="F112" s="77" t="e">
        <f t="shared" si="8"/>
        <v>#DIV/0!</v>
      </c>
      <c r="G112" s="77" t="e">
        <f>AVERAGE(G64:G79)</f>
        <v>#DIV/0!</v>
      </c>
      <c r="H112" s="77"/>
      <c r="I112" s="77" t="e">
        <f t="shared" si="8"/>
        <v>#DIV/0!</v>
      </c>
      <c r="J112" s="77"/>
      <c r="K112" s="77" t="e">
        <f t="shared" si="8"/>
        <v>#DIV/0!</v>
      </c>
      <c r="L112" s="77" t="e">
        <f t="shared" si="8"/>
        <v>#DIV/0!</v>
      </c>
      <c r="M112" s="77" t="e">
        <f t="shared" si="8"/>
        <v>#DIV/0!</v>
      </c>
      <c r="N112" s="77" t="e">
        <f t="shared" si="8"/>
        <v>#DIV/0!</v>
      </c>
      <c r="O112" s="77" t="e">
        <f t="shared" si="8"/>
        <v>#DIV/0!</v>
      </c>
      <c r="P112" s="77" t="e">
        <f t="shared" si="8"/>
        <v>#DIV/0!</v>
      </c>
      <c r="Q112" s="77" t="e">
        <f t="shared" si="8"/>
        <v>#DIV/0!</v>
      </c>
      <c r="R112" s="77"/>
      <c r="S112" s="77" t="e">
        <f t="shared" si="8"/>
        <v>#DIV/0!</v>
      </c>
      <c r="T112" s="77"/>
      <c r="U112" s="77" t="e">
        <f t="shared" si="8"/>
        <v>#DIV/0!</v>
      </c>
      <c r="V112" s="77" t="e">
        <f t="shared" si="8"/>
        <v>#DIV/0!</v>
      </c>
      <c r="W112" s="77" t="e">
        <f t="shared" si="8"/>
        <v>#DIV/0!</v>
      </c>
      <c r="X112" s="79" t="e">
        <f t="shared" si="8"/>
        <v>#DIV/0!</v>
      </c>
    </row>
    <row r="113" spans="1:24" ht="15.75" customHeight="1" thickBot="1">
      <c r="A113" s="123" t="s">
        <v>263</v>
      </c>
      <c r="B113" s="93">
        <f>AVERAGE(B80:B103)</f>
        <v>214281.39229942302</v>
      </c>
      <c r="C113" s="93">
        <f t="shared" ref="C113:X113" si="9">AVERAGE(C80:C103)</f>
        <v>21234.658333333329</v>
      </c>
      <c r="D113" s="93">
        <f>AVERAGE(D80:D103)</f>
        <v>23773.470833333336</v>
      </c>
      <c r="E113" s="93">
        <f t="shared" si="9"/>
        <v>70537.887499999997</v>
      </c>
      <c r="F113" s="93">
        <f t="shared" si="9"/>
        <v>98735.375</v>
      </c>
      <c r="G113" s="93">
        <f>AVERAGE(G80:G103)</f>
        <v>6.3275640598098976E-4</v>
      </c>
      <c r="H113" s="93"/>
      <c r="I113" s="93">
        <f t="shared" si="9"/>
        <v>151.67572112391971</v>
      </c>
      <c r="J113" s="93"/>
      <c r="K113" s="93">
        <f t="shared" si="9"/>
        <v>0</v>
      </c>
      <c r="L113" s="93">
        <f t="shared" si="9"/>
        <v>0</v>
      </c>
      <c r="M113" s="93">
        <f t="shared" si="9"/>
        <v>0</v>
      </c>
      <c r="N113" s="93">
        <f t="shared" si="9"/>
        <v>0</v>
      </c>
      <c r="O113" s="93">
        <f t="shared" si="9"/>
        <v>0</v>
      </c>
      <c r="P113" s="93">
        <f t="shared" si="9"/>
        <v>0</v>
      </c>
      <c r="Q113" s="93">
        <f t="shared" si="9"/>
        <v>0</v>
      </c>
      <c r="R113" s="93"/>
      <c r="S113" s="93">
        <f t="shared" si="9"/>
        <v>0</v>
      </c>
      <c r="T113" s="93"/>
      <c r="U113" s="93">
        <f t="shared" si="9"/>
        <v>255.04249170355831</v>
      </c>
      <c r="V113" s="93">
        <f t="shared" si="9"/>
        <v>306.71940634722461</v>
      </c>
      <c r="W113" s="93">
        <f t="shared" si="9"/>
        <v>-51.67691464366618</v>
      </c>
      <c r="X113" s="94">
        <f t="shared" si="9"/>
        <v>561.76189805078275</v>
      </c>
    </row>
    <row r="115" spans="1:24" ht="15.75" customHeight="1" thickBot="1"/>
    <row r="116" spans="1:24" ht="15.75" customHeight="1" thickBot="1">
      <c r="B116" s="213" t="s">
        <v>231</v>
      </c>
      <c r="C116" s="214"/>
      <c r="D116" s="214"/>
      <c r="E116" s="214"/>
      <c r="F116" s="214"/>
      <c r="G116" s="214"/>
      <c r="H116" s="215"/>
    </row>
    <row r="117" spans="1:24" ht="15.75" customHeight="1">
      <c r="B117" s="124" t="s">
        <v>98</v>
      </c>
      <c r="C117" s="125" t="s">
        <v>99</v>
      </c>
      <c r="D117" s="125" t="s">
        <v>100</v>
      </c>
      <c r="E117" s="125" t="s">
        <v>101</v>
      </c>
      <c r="F117" s="126" t="s">
        <v>105</v>
      </c>
    </row>
    <row r="118" spans="1:24" ht="15.75" customHeight="1">
      <c r="B118" s="127" t="s">
        <v>232</v>
      </c>
      <c r="C118" s="128" t="e">
        <f>$B$110</f>
        <v>#DIV/0!</v>
      </c>
      <c r="D118" s="128" t="e">
        <f>$B$111</f>
        <v>#DIV/0!</v>
      </c>
      <c r="E118" s="128" t="e">
        <f>$B112</f>
        <v>#DIV/0!</v>
      </c>
      <c r="F118" s="129">
        <f>$B$113</f>
        <v>214281.39229942302</v>
      </c>
    </row>
    <row r="119" spans="1:24" ht="15.75" customHeight="1">
      <c r="B119" s="127" t="s">
        <v>233</v>
      </c>
      <c r="C119" s="128" t="e">
        <f>$O110</f>
        <v>#DIV/0!</v>
      </c>
      <c r="D119" s="128" t="e">
        <f>$O111</f>
        <v>#DIV/0!</v>
      </c>
      <c r="E119" s="128" t="e">
        <f>$O112</f>
        <v>#DIV/0!</v>
      </c>
      <c r="F119" s="129">
        <f>$O113</f>
        <v>0</v>
      </c>
    </row>
    <row r="120" spans="1:24" ht="15.75" customHeight="1">
      <c r="B120" s="127" t="s">
        <v>234</v>
      </c>
      <c r="C120" s="128" t="e">
        <f>$I110</f>
        <v>#DIV/0!</v>
      </c>
      <c r="D120" s="128" t="e">
        <f>$I111</f>
        <v>#DIV/0!</v>
      </c>
      <c r="E120" s="128" t="e">
        <f>$I112</f>
        <v>#DIV/0!</v>
      </c>
      <c r="F120" s="129">
        <f>$I113</f>
        <v>151.67572112391971</v>
      </c>
    </row>
    <row r="121" spans="1:24" ht="15.75" customHeight="1">
      <c r="B121" s="127" t="s">
        <v>235</v>
      </c>
      <c r="C121" s="128" t="e">
        <f>$L110</f>
        <v>#DIV/0!</v>
      </c>
      <c r="D121" s="128" t="e">
        <f>$L111</f>
        <v>#DIV/0!</v>
      </c>
      <c r="E121" s="128" t="e">
        <f>$L112</f>
        <v>#DIV/0!</v>
      </c>
      <c r="F121" s="129">
        <f>$L113</f>
        <v>0</v>
      </c>
    </row>
    <row r="122" spans="1:24" ht="15.75" customHeight="1">
      <c r="B122" s="127" t="s">
        <v>236</v>
      </c>
      <c r="C122" s="128" t="e">
        <f>$S110</f>
        <v>#DIV/0!</v>
      </c>
      <c r="D122" s="128" t="e">
        <f>$S111</f>
        <v>#DIV/0!</v>
      </c>
      <c r="E122" s="128" t="e">
        <f>$S112</f>
        <v>#DIV/0!</v>
      </c>
      <c r="F122" s="129">
        <f>$S113</f>
        <v>0</v>
      </c>
    </row>
    <row r="123" spans="1:24" ht="15.75" customHeight="1">
      <c r="B123" s="130" t="s">
        <v>194</v>
      </c>
      <c r="C123" s="131" t="e">
        <f>$W110</f>
        <v>#DIV/0!</v>
      </c>
      <c r="D123" s="131" t="e">
        <f>$W111</f>
        <v>#DIV/0!</v>
      </c>
      <c r="E123" s="131" t="e">
        <f>$W112</f>
        <v>#DIV/0!</v>
      </c>
      <c r="F123" s="132">
        <f>$W113</f>
        <v>-51.67691464366618</v>
      </c>
    </row>
    <row r="124" spans="1:24" ht="15.75" customHeight="1" thickBot="1">
      <c r="B124" s="133" t="s">
        <v>254</v>
      </c>
      <c r="C124" s="134" t="e">
        <f>SUM(C118:C123)</f>
        <v>#DIV/0!</v>
      </c>
      <c r="D124" s="134" t="e">
        <f>SUM(D118:D123)</f>
        <v>#DIV/0!</v>
      </c>
      <c r="E124" s="134" t="e">
        <f>SUM(E118:E123)</f>
        <v>#DIV/0!</v>
      </c>
      <c r="F124" s="135">
        <f>SUM(F118:F123)</f>
        <v>214381.39110590328</v>
      </c>
    </row>
  </sheetData>
  <mergeCells count="9">
    <mergeCell ref="B3:E3"/>
    <mergeCell ref="J3:P3"/>
    <mergeCell ref="B8:Q8"/>
    <mergeCell ref="U8:W8"/>
    <mergeCell ref="B116:H116"/>
    <mergeCell ref="U10:X10"/>
    <mergeCell ref="B10:F10"/>
    <mergeCell ref="K10:Q10"/>
    <mergeCell ref="I10:J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3" tint="0.59999389629810485"/>
  </sheetPr>
  <dimension ref="A1:AZ51"/>
  <sheetViews>
    <sheetView zoomScale="75" zoomScaleNormal="75" workbookViewId="0">
      <pane ySplit="4" topLeftCell="A53" activePane="bottomLeft" state="frozen"/>
      <selection activeCell="J25" sqref="J25"/>
      <selection pane="bottomLeft" activeCell="B2" sqref="B2"/>
    </sheetView>
  </sheetViews>
  <sheetFormatPr defaultColWidth="9.109375" defaultRowHeight="14.4"/>
  <cols>
    <col min="1" max="2" width="9.109375" style="1"/>
    <col min="3" max="6" width="9.109375" style="1" customWidth="1"/>
    <col min="7" max="16384" width="9.109375" style="1"/>
  </cols>
  <sheetData>
    <row r="1" spans="1:52" s="3" customFormat="1" ht="30.3" customHeight="1">
      <c r="A1" s="28"/>
      <c r="B1" s="29" t="s">
        <v>157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28"/>
      <c r="R1" s="30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</row>
    <row r="2" spans="1:52" s="3" customFormat="1" ht="25.2" customHeight="1" thickBot="1">
      <c r="A2" s="31"/>
      <c r="B2" s="32" t="s">
        <v>158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1"/>
      <c r="R2" s="33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</row>
    <row r="3" spans="1:52" s="4" customFormat="1" ht="20.25" customHeight="1">
      <c r="A3" s="34"/>
      <c r="B3" s="216" t="s">
        <v>161</v>
      </c>
      <c r="C3" s="216"/>
      <c r="D3" s="216"/>
      <c r="E3" s="216"/>
      <c r="F3" s="216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</row>
    <row r="4" spans="1:52">
      <c r="B4" s="2"/>
    </row>
    <row r="5" spans="1:52">
      <c r="B5" s="2"/>
    </row>
    <row r="6" spans="1:52" ht="15.6">
      <c r="B6" s="2"/>
      <c r="J6" s="9"/>
    </row>
    <row r="7" spans="1:52">
      <c r="B7" s="2"/>
    </row>
    <row r="8" spans="1:52" ht="15.6">
      <c r="B8" s="2"/>
      <c r="I8" s="9"/>
    </row>
    <row r="9" spans="1:52">
      <c r="B9" s="2"/>
    </row>
    <row r="10" spans="1:52">
      <c r="B10" s="2"/>
    </row>
    <row r="11" spans="1:52">
      <c r="B11" s="2"/>
    </row>
    <row r="12" spans="1:52">
      <c r="B12" s="2"/>
    </row>
    <row r="13" spans="1:52">
      <c r="B13" s="2"/>
    </row>
    <row r="14" spans="1:52">
      <c r="B14" s="2"/>
    </row>
    <row r="15" spans="1:52">
      <c r="B15" s="2"/>
    </row>
    <row r="16" spans="1:5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2"/>
    </row>
    <row r="23" spans="2:2">
      <c r="B23" s="2"/>
    </row>
    <row r="45" spans="1:7">
      <c r="A45" s="4"/>
      <c r="B45" s="4"/>
      <c r="C45" s="4"/>
      <c r="D45" s="4"/>
      <c r="E45" s="4"/>
      <c r="F45" s="4"/>
      <c r="G45" s="4"/>
    </row>
    <row r="46" spans="1:7">
      <c r="A46" s="4"/>
      <c r="B46" s="4"/>
      <c r="C46" s="4"/>
      <c r="D46" s="4"/>
      <c r="E46" s="4"/>
      <c r="F46" s="4"/>
      <c r="G46" s="4"/>
    </row>
    <row r="47" spans="1:7">
      <c r="A47" s="4"/>
      <c r="B47" s="4"/>
      <c r="C47" s="4"/>
      <c r="D47" s="4"/>
      <c r="E47" s="4"/>
      <c r="F47" s="4"/>
      <c r="G47" s="4"/>
    </row>
    <row r="48" spans="1:7">
      <c r="A48" s="4"/>
      <c r="B48" s="4"/>
      <c r="C48" s="4"/>
      <c r="D48" s="4"/>
      <c r="E48" s="4"/>
      <c r="F48" s="4"/>
      <c r="G48" s="4"/>
    </row>
    <row r="49" spans="1:7">
      <c r="A49" s="4"/>
      <c r="B49" s="4"/>
      <c r="C49" s="4"/>
      <c r="D49" s="4"/>
      <c r="E49" s="4"/>
      <c r="F49" s="4"/>
      <c r="G49" s="4"/>
    </row>
    <row r="50" spans="1:7">
      <c r="A50" s="4"/>
      <c r="B50" s="4"/>
      <c r="C50" s="4"/>
      <c r="D50" s="4"/>
      <c r="E50" s="4"/>
      <c r="F50" s="4"/>
      <c r="G50" s="4"/>
    </row>
    <row r="51" spans="1:7">
      <c r="A51" s="4"/>
      <c r="B51" s="4"/>
      <c r="C51" s="4"/>
      <c r="D51" s="4"/>
      <c r="E51" s="4"/>
      <c r="F51" s="4"/>
      <c r="G51" s="4"/>
    </row>
  </sheetData>
  <mergeCells count="1">
    <mergeCell ref="B3:F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3" tint="0.39997558519241921"/>
  </sheetPr>
  <dimension ref="A1:AL113"/>
  <sheetViews>
    <sheetView showGridLines="0" topLeftCell="O55" zoomScale="75" zoomScaleNormal="75" workbookViewId="0">
      <selection activeCell="T94" sqref="T77:T94"/>
    </sheetView>
  </sheetViews>
  <sheetFormatPr defaultColWidth="9.109375" defaultRowHeight="13.2"/>
  <cols>
    <col min="1" max="1" width="11.88671875" style="47" customWidth="1"/>
    <col min="2" max="2" width="20.88671875" style="105" customWidth="1"/>
    <col min="3" max="3" width="8.77734375" style="105" customWidth="1"/>
    <col min="4" max="4" width="18" style="105" customWidth="1"/>
    <col min="5" max="5" width="18.44140625" style="105" customWidth="1"/>
    <col min="6" max="6" width="14" style="105" customWidth="1"/>
    <col min="7" max="7" width="14.88671875" style="105" customWidth="1"/>
    <col min="8" max="8" width="16.77734375" style="105" customWidth="1"/>
    <col min="9" max="9" width="15.21875" style="105" customWidth="1"/>
    <col min="10" max="10" width="8" style="105" customWidth="1"/>
    <col min="11" max="11" width="16.44140625" style="105" customWidth="1"/>
    <col min="12" max="12" width="15.109375" style="105" bestFit="1" customWidth="1"/>
    <col min="13" max="13" width="14.88671875" style="105" customWidth="1"/>
    <col min="14" max="14" width="17.44140625" style="105" customWidth="1"/>
    <col min="15" max="15" width="20.44140625" style="105" customWidth="1"/>
    <col min="16" max="16" width="18.21875" style="105" customWidth="1"/>
    <col min="17" max="17" width="11.33203125" style="105" customWidth="1"/>
    <col min="18" max="18" width="19" style="105" customWidth="1"/>
    <col min="19" max="19" width="5" style="105" customWidth="1"/>
    <col min="20" max="22" width="22.44140625" style="105" customWidth="1"/>
    <col min="23" max="23" width="21.44140625" style="105" customWidth="1"/>
    <col min="24" max="24" width="20.109375" style="105" customWidth="1"/>
    <col min="25" max="25" width="21.88671875" style="105" customWidth="1"/>
    <col min="26" max="26" width="9.109375" style="105"/>
    <col min="27" max="27" width="10.44140625" style="105" customWidth="1"/>
    <col min="28" max="28" width="13.44140625" style="105" customWidth="1"/>
    <col min="29" max="29" width="14" style="105" customWidth="1"/>
    <col min="30" max="16384" width="9.109375" style="105"/>
  </cols>
  <sheetData>
    <row r="1" spans="1:38" s="40" customFormat="1" ht="30.3" customHeight="1">
      <c r="A1" s="37"/>
      <c r="B1" s="38" t="s">
        <v>157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7"/>
      <c r="P1" s="39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</row>
    <row r="2" spans="1:38" s="40" customFormat="1" ht="25.2" customHeight="1" thickBot="1">
      <c r="A2" s="41"/>
      <c r="B2" s="42" t="s">
        <v>158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1"/>
      <c r="P2" s="43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</row>
    <row r="3" spans="1:38" s="51" customFormat="1" ht="23.25" customHeight="1">
      <c r="A3" s="44"/>
      <c r="B3" s="207" t="s">
        <v>203</v>
      </c>
      <c r="C3" s="207"/>
      <c r="D3" s="207"/>
      <c r="E3" s="207"/>
      <c r="F3" s="207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</row>
    <row r="4" spans="1:38" s="47" customFormat="1" ht="6.75" customHeight="1"/>
    <row r="5" spans="1:38" s="47" customFormat="1" ht="12.75" customHeight="1">
      <c r="A5" s="218"/>
      <c r="B5" s="218"/>
    </row>
    <row r="6" spans="1:38" s="47" customFormat="1" ht="12.75" customHeight="1">
      <c r="A6" s="136"/>
      <c r="B6" s="136"/>
    </row>
    <row r="7" spans="1:38" s="47" customFormat="1" ht="12.75" customHeight="1">
      <c r="A7" s="136"/>
      <c r="B7" s="136"/>
    </row>
    <row r="8" spans="1:38" s="47" customFormat="1" ht="12.75" customHeight="1">
      <c r="A8" s="136"/>
      <c r="B8" s="136"/>
    </row>
    <row r="9" spans="1:38" s="47" customFormat="1" ht="12.75" customHeight="1">
      <c r="A9" s="136"/>
      <c r="B9" s="136"/>
    </row>
    <row r="10" spans="1:38" s="47" customFormat="1" ht="14.4" thickBot="1">
      <c r="C10" s="137"/>
      <c r="D10" s="137"/>
      <c r="E10" s="137"/>
      <c r="F10" s="137"/>
      <c r="G10" s="137"/>
      <c r="H10" s="137"/>
      <c r="I10" s="137"/>
      <c r="J10" s="138"/>
      <c r="K10" s="115" t="s">
        <v>140</v>
      </c>
      <c r="L10" s="115" t="s">
        <v>141</v>
      </c>
      <c r="M10" s="115" t="s">
        <v>142</v>
      </c>
      <c r="N10" s="115" t="s">
        <v>143</v>
      </c>
      <c r="O10" s="115" t="s">
        <v>144</v>
      </c>
      <c r="P10" s="115" t="s">
        <v>145</v>
      </c>
      <c r="Q10" s="138"/>
      <c r="R10" s="137" t="s">
        <v>133</v>
      </c>
      <c r="S10" s="137"/>
      <c r="T10" s="137" t="s">
        <v>134</v>
      </c>
      <c r="U10" s="137"/>
      <c r="V10" s="137"/>
      <c r="W10" s="137"/>
      <c r="X10" s="137"/>
      <c r="Y10" s="139" t="s">
        <v>138</v>
      </c>
    </row>
    <row r="11" spans="1:38" s="47" customFormat="1" ht="24.75" customHeight="1" thickBot="1">
      <c r="A11" s="57"/>
      <c r="B11" s="57"/>
      <c r="C11" s="57"/>
      <c r="D11" s="209" t="s">
        <v>220</v>
      </c>
      <c r="E11" s="209"/>
      <c r="F11" s="209"/>
      <c r="G11" s="209"/>
      <c r="H11" s="209"/>
      <c r="I11" s="209"/>
      <c r="J11" s="57"/>
      <c r="K11" s="209" t="s">
        <v>221</v>
      </c>
      <c r="L11" s="209"/>
      <c r="M11" s="209"/>
      <c r="N11" s="209"/>
      <c r="O11" s="209"/>
      <c r="P11" s="209"/>
      <c r="Q11" s="57"/>
      <c r="R11" s="57"/>
      <c r="S11" s="57"/>
      <c r="T11" s="217" t="s">
        <v>247</v>
      </c>
      <c r="U11" s="209"/>
      <c r="V11" s="209"/>
      <c r="W11" s="209"/>
      <c r="X11" s="209"/>
      <c r="Y11" s="210"/>
      <c r="AA11" s="51"/>
      <c r="AB11" s="51"/>
      <c r="AC11" s="51"/>
    </row>
    <row r="12" spans="1:38" s="47" customFormat="1" ht="48.9" customHeight="1" thickBot="1">
      <c r="A12" s="61"/>
      <c r="B12" s="61" t="s">
        <v>163</v>
      </c>
      <c r="C12" s="61"/>
      <c r="D12" s="61" t="s">
        <v>205</v>
      </c>
      <c r="E12" s="61" t="s">
        <v>206</v>
      </c>
      <c r="F12" s="61" t="s">
        <v>207</v>
      </c>
      <c r="G12" s="61" t="s">
        <v>208</v>
      </c>
      <c r="H12" s="61" t="s">
        <v>209</v>
      </c>
      <c r="I12" s="61" t="s">
        <v>195</v>
      </c>
      <c r="J12" s="61"/>
      <c r="K12" s="61" t="s">
        <v>205</v>
      </c>
      <c r="L12" s="61" t="s">
        <v>206</v>
      </c>
      <c r="M12" s="61" t="s">
        <v>207</v>
      </c>
      <c r="N12" s="61" t="s">
        <v>208</v>
      </c>
      <c r="O12" s="61" t="s">
        <v>209</v>
      </c>
      <c r="P12" s="61" t="s">
        <v>195</v>
      </c>
      <c r="Q12" s="61"/>
      <c r="R12" s="61" t="s">
        <v>248</v>
      </c>
      <c r="S12" s="61"/>
      <c r="T12" s="63" t="s">
        <v>259</v>
      </c>
      <c r="U12" s="61" t="s">
        <v>260</v>
      </c>
      <c r="V12" s="61" t="s">
        <v>257</v>
      </c>
      <c r="W12" s="61" t="s">
        <v>258</v>
      </c>
      <c r="X12" s="61" t="s">
        <v>261</v>
      </c>
      <c r="Y12" s="65" t="s">
        <v>262</v>
      </c>
      <c r="AA12" s="51"/>
      <c r="AB12" s="51"/>
      <c r="AC12" s="51"/>
    </row>
    <row r="13" spans="1:38" s="89" customFormat="1" ht="15.75" customHeight="1">
      <c r="A13" s="40" t="s">
        <v>0</v>
      </c>
      <c r="B13" s="140">
        <f>'1.Reel GSYH '!B9</f>
        <v>0</v>
      </c>
      <c r="D13" s="141">
        <f>'1.Reel GSYH '!D9</f>
        <v>0</v>
      </c>
      <c r="E13" s="142">
        <f>'1.Reel GSYH '!K9</f>
        <v>0</v>
      </c>
      <c r="F13" s="143">
        <f>'1.Reel GSYH '!N9</f>
        <v>0</v>
      </c>
      <c r="G13" s="143">
        <f>'1.Reel GSYH '!Q9</f>
        <v>0</v>
      </c>
      <c r="H13" s="143">
        <f>'1.Reel GSYH '!U9</f>
        <v>23.293624999999999</v>
      </c>
      <c r="I13" s="140">
        <f>'1.Reel GSYH '!Y9</f>
        <v>0</v>
      </c>
      <c r="J13" s="84"/>
      <c r="K13" s="141"/>
      <c r="L13" s="144"/>
      <c r="M13" s="143"/>
      <c r="N13" s="143"/>
      <c r="O13" s="144"/>
      <c r="P13" s="145"/>
      <c r="R13" s="146"/>
      <c r="T13" s="184"/>
      <c r="U13" s="144"/>
      <c r="V13" s="144"/>
      <c r="W13" s="144"/>
      <c r="X13" s="144"/>
      <c r="Y13" s="146"/>
    </row>
    <row r="14" spans="1:38" s="89" customFormat="1" ht="15.75" customHeight="1">
      <c r="A14" s="40" t="s">
        <v>1</v>
      </c>
      <c r="B14" s="140">
        <f>'1.Reel GSYH '!B10</f>
        <v>0</v>
      </c>
      <c r="D14" s="141">
        <f>'1.Reel GSYH '!D10</f>
        <v>0</v>
      </c>
      <c r="E14" s="143">
        <f>'1.Reel GSYH '!K10</f>
        <v>0</v>
      </c>
      <c r="F14" s="143">
        <f>'1.Reel GSYH '!N10</f>
        <v>0</v>
      </c>
      <c r="G14" s="143">
        <f>'1.Reel GSYH '!Q10</f>
        <v>0</v>
      </c>
      <c r="H14" s="143">
        <f>'1.Reel GSYH '!U10</f>
        <v>29.357174999999998</v>
      </c>
      <c r="I14" s="140">
        <f>'1.Reel GSYH '!Y10</f>
        <v>0</v>
      </c>
      <c r="J14" s="84"/>
      <c r="K14" s="141"/>
      <c r="L14" s="144"/>
      <c r="M14" s="143"/>
      <c r="N14" s="143"/>
      <c r="O14" s="144"/>
      <c r="P14" s="145"/>
      <c r="R14" s="146"/>
      <c r="T14" s="75"/>
      <c r="U14" s="144"/>
      <c r="V14" s="144"/>
      <c r="W14" s="144"/>
      <c r="X14" s="144"/>
      <c r="Y14" s="146"/>
    </row>
    <row r="15" spans="1:38" s="89" customFormat="1" ht="15.75" customHeight="1">
      <c r="A15" s="40" t="s">
        <v>2</v>
      </c>
      <c r="B15" s="140">
        <f>'1.Reel GSYH '!B11</f>
        <v>0</v>
      </c>
      <c r="D15" s="141">
        <f>'1.Reel GSYH '!D11</f>
        <v>0</v>
      </c>
      <c r="E15" s="143">
        <f>'1.Reel GSYH '!K11</f>
        <v>0</v>
      </c>
      <c r="F15" s="143">
        <f>'1.Reel GSYH '!N11</f>
        <v>0</v>
      </c>
      <c r="G15" s="143">
        <f>'1.Reel GSYH '!Q11</f>
        <v>0</v>
      </c>
      <c r="H15" s="143">
        <f>'1.Reel GSYH '!U11</f>
        <v>18.210875000000001</v>
      </c>
      <c r="I15" s="140">
        <f>'1.Reel GSYH '!Y11</f>
        <v>0</v>
      </c>
      <c r="J15" s="84"/>
      <c r="K15" s="141"/>
      <c r="L15" s="144"/>
      <c r="M15" s="143"/>
      <c r="N15" s="143"/>
      <c r="O15" s="144"/>
      <c r="P15" s="145"/>
      <c r="R15" s="146"/>
      <c r="T15" s="75"/>
      <c r="U15" s="144"/>
      <c r="V15" s="144"/>
      <c r="W15" s="144"/>
      <c r="X15" s="144"/>
      <c r="Y15" s="146"/>
    </row>
    <row r="16" spans="1:38" s="89" customFormat="1" ht="15.75" customHeight="1">
      <c r="A16" s="40" t="s">
        <v>3</v>
      </c>
      <c r="B16" s="140">
        <f>'1.Reel GSYH '!B12</f>
        <v>0</v>
      </c>
      <c r="D16" s="141">
        <f>'1.Reel GSYH '!D12</f>
        <v>0</v>
      </c>
      <c r="E16" s="143">
        <f>'1.Reel GSYH '!K12</f>
        <v>0</v>
      </c>
      <c r="F16" s="143">
        <f>'1.Reel GSYH '!N12</f>
        <v>0</v>
      </c>
      <c r="G16" s="143">
        <f>'1.Reel GSYH '!Q12</f>
        <v>0</v>
      </c>
      <c r="H16" s="143">
        <f>'1.Reel GSYH '!U12</f>
        <v>9.5900999999999996</v>
      </c>
      <c r="I16" s="140">
        <f>'1.Reel GSYH '!Y12</f>
        <v>0</v>
      </c>
      <c r="J16" s="84"/>
      <c r="K16" s="147"/>
      <c r="L16" s="144"/>
      <c r="M16" s="144"/>
      <c r="N16" s="144"/>
      <c r="O16" s="144"/>
      <c r="P16" s="145"/>
      <c r="R16" s="146"/>
      <c r="T16" s="75"/>
      <c r="U16" s="144"/>
      <c r="V16" s="144"/>
      <c r="W16" s="144"/>
      <c r="X16" s="144"/>
      <c r="Y16" s="146"/>
    </row>
    <row r="17" spans="1:25" s="89" customFormat="1" ht="15.75" customHeight="1">
      <c r="A17" s="40" t="s">
        <v>4</v>
      </c>
      <c r="B17" s="140">
        <f>'1.Reel GSYH '!B13</f>
        <v>0</v>
      </c>
      <c r="D17" s="141">
        <f>'1.Reel GSYH '!D13</f>
        <v>0</v>
      </c>
      <c r="E17" s="143">
        <f>'1.Reel GSYH '!K13</f>
        <v>0</v>
      </c>
      <c r="F17" s="143">
        <f>'1.Reel GSYH '!N13</f>
        <v>0</v>
      </c>
      <c r="G17" s="143">
        <f>'1.Reel GSYH '!Q13</f>
        <v>0</v>
      </c>
      <c r="H17" s="143">
        <f>'1.Reel GSYH '!U13</f>
        <v>15.654624999999999</v>
      </c>
      <c r="I17" s="140">
        <f>'1.Reel GSYH '!Y13</f>
        <v>0</v>
      </c>
      <c r="J17" s="84"/>
      <c r="K17" s="148"/>
      <c r="L17" s="149"/>
      <c r="M17" s="149"/>
      <c r="N17" s="149"/>
      <c r="O17" s="149"/>
      <c r="P17" s="150"/>
      <c r="R17" s="151"/>
      <c r="T17" s="152"/>
      <c r="U17" s="144" t="e">
        <f>((E17-E13)/($B13))*100</f>
        <v>#DIV/0!</v>
      </c>
      <c r="V17" s="144" t="e">
        <f>((F17-F13)/($B13))*100</f>
        <v>#DIV/0!</v>
      </c>
      <c r="W17" s="144" t="e">
        <f>((G17-G13)/($B13))*100</f>
        <v>#DIV/0!</v>
      </c>
      <c r="X17" s="144" t="e">
        <f>((H17-H13)/($B13))*100</f>
        <v>#DIV/0!</v>
      </c>
      <c r="Y17" s="151"/>
    </row>
    <row r="18" spans="1:25" s="89" customFormat="1" ht="15.75" customHeight="1">
      <c r="A18" s="40" t="s">
        <v>5</v>
      </c>
      <c r="B18" s="140">
        <f>'1.Reel GSYH '!B14</f>
        <v>0</v>
      </c>
      <c r="D18" s="141">
        <f>'1.Reel GSYH '!D14</f>
        <v>0</v>
      </c>
      <c r="E18" s="143">
        <f>'1.Reel GSYH '!K14</f>
        <v>0</v>
      </c>
      <c r="F18" s="143">
        <f>'1.Reel GSYH '!N14</f>
        <v>0</v>
      </c>
      <c r="G18" s="143">
        <f>'1.Reel GSYH '!Q14</f>
        <v>0</v>
      </c>
      <c r="H18" s="143">
        <f>'1.Reel GSYH '!U14</f>
        <v>39.951925000000003</v>
      </c>
      <c r="I18" s="140">
        <f>'1.Reel GSYH '!Y14</f>
        <v>0</v>
      </c>
      <c r="J18" s="84"/>
      <c r="K18" s="153"/>
      <c r="L18" s="154"/>
      <c r="M18" s="154"/>
      <c r="N18" s="154"/>
      <c r="O18" s="154"/>
      <c r="P18" s="155"/>
      <c r="R18" s="151"/>
      <c r="T18" s="152"/>
      <c r="U18" s="144" t="e">
        <f t="shared" ref="U18:U49" si="0">((E18-E14)/($B14))*100</f>
        <v>#DIV/0!</v>
      </c>
      <c r="V18" s="144" t="e">
        <f t="shared" ref="V18:V49" si="1">((F18-F14)/($B14))*100</f>
        <v>#DIV/0!</v>
      </c>
      <c r="W18" s="144" t="e">
        <f t="shared" ref="W18:W49" si="2">((G18-G14)/($B14))*100</f>
        <v>#DIV/0!</v>
      </c>
      <c r="X18" s="144" t="e">
        <f t="shared" ref="X18:X49" si="3">((H18-H14)/($B14))*100</f>
        <v>#DIV/0!</v>
      </c>
      <c r="Y18" s="151"/>
    </row>
    <row r="19" spans="1:25" s="89" customFormat="1" ht="15.75" customHeight="1">
      <c r="A19" s="40" t="s">
        <v>6</v>
      </c>
      <c r="B19" s="140">
        <f>'1.Reel GSYH '!B15</f>
        <v>0</v>
      </c>
      <c r="D19" s="141">
        <f>'1.Reel GSYH '!D15</f>
        <v>0</v>
      </c>
      <c r="E19" s="143">
        <f>'1.Reel GSYH '!K15</f>
        <v>0</v>
      </c>
      <c r="F19" s="143">
        <f>'1.Reel GSYH '!N15</f>
        <v>0</v>
      </c>
      <c r="G19" s="143">
        <f>'1.Reel GSYH '!Q15</f>
        <v>0</v>
      </c>
      <c r="H19" s="143">
        <f>'1.Reel GSYH '!U15</f>
        <v>19.97175</v>
      </c>
      <c r="I19" s="140">
        <f>'1.Reel GSYH '!Y15</f>
        <v>0</v>
      </c>
      <c r="J19" s="84"/>
      <c r="K19" s="153"/>
      <c r="L19" s="154"/>
      <c r="M19" s="154"/>
      <c r="N19" s="154"/>
      <c r="O19" s="154"/>
      <c r="P19" s="155"/>
      <c r="R19" s="151"/>
      <c r="T19" s="152"/>
      <c r="U19" s="144" t="e">
        <f t="shared" si="0"/>
        <v>#DIV/0!</v>
      </c>
      <c r="V19" s="144" t="e">
        <f t="shared" si="1"/>
        <v>#DIV/0!</v>
      </c>
      <c r="W19" s="144" t="e">
        <f t="shared" si="2"/>
        <v>#DIV/0!</v>
      </c>
      <c r="X19" s="144" t="e">
        <f t="shared" si="3"/>
        <v>#DIV/0!</v>
      </c>
      <c r="Y19" s="151"/>
    </row>
    <row r="20" spans="1:25" s="89" customFormat="1" ht="15.75" customHeight="1">
      <c r="A20" s="40" t="s">
        <v>7</v>
      </c>
      <c r="B20" s="140">
        <f>'1.Reel GSYH '!B16</f>
        <v>0</v>
      </c>
      <c r="D20" s="141">
        <f>'1.Reel GSYH '!D16</f>
        <v>0</v>
      </c>
      <c r="E20" s="143">
        <f>'1.Reel GSYH '!K16</f>
        <v>0</v>
      </c>
      <c r="F20" s="143">
        <f>'1.Reel GSYH '!N16</f>
        <v>0</v>
      </c>
      <c r="G20" s="143">
        <f>'1.Reel GSYH '!Q16</f>
        <v>0</v>
      </c>
      <c r="H20" s="143">
        <f>'1.Reel GSYH '!U16</f>
        <v>24.088725</v>
      </c>
      <c r="I20" s="140">
        <f>'1.Reel GSYH '!Y16</f>
        <v>0</v>
      </c>
      <c r="J20" s="84"/>
      <c r="K20" s="153"/>
      <c r="L20" s="154"/>
      <c r="M20" s="154"/>
      <c r="N20" s="154"/>
      <c r="O20" s="154"/>
      <c r="P20" s="155"/>
      <c r="R20" s="151"/>
      <c r="T20" s="152"/>
      <c r="U20" s="144" t="e">
        <f t="shared" si="0"/>
        <v>#DIV/0!</v>
      </c>
      <c r="V20" s="144" t="e">
        <f t="shared" si="1"/>
        <v>#DIV/0!</v>
      </c>
      <c r="W20" s="144" t="e">
        <f t="shared" si="2"/>
        <v>#DIV/0!</v>
      </c>
      <c r="X20" s="144" t="e">
        <f t="shared" si="3"/>
        <v>#DIV/0!</v>
      </c>
      <c r="Y20" s="151"/>
    </row>
    <row r="21" spans="1:25" s="89" customFormat="1" ht="15.75" customHeight="1">
      <c r="A21" s="40" t="s">
        <v>8</v>
      </c>
      <c r="B21" s="140">
        <f>'1.Reel GSYH '!B17</f>
        <v>0</v>
      </c>
      <c r="D21" s="141">
        <f>'1.Reel GSYH '!D17</f>
        <v>0</v>
      </c>
      <c r="E21" s="143">
        <f>'1.Reel GSYH '!K17</f>
        <v>0</v>
      </c>
      <c r="F21" s="143">
        <f>'1.Reel GSYH '!N17</f>
        <v>0</v>
      </c>
      <c r="G21" s="143">
        <f>'1.Reel GSYH '!Q17</f>
        <v>0</v>
      </c>
      <c r="H21" s="143">
        <f>'1.Reel GSYH '!U17</f>
        <v>26.944575</v>
      </c>
      <c r="I21" s="140">
        <f>'1.Reel GSYH '!Y17</f>
        <v>0</v>
      </c>
      <c r="J21" s="84"/>
      <c r="K21" s="153"/>
      <c r="L21" s="154"/>
      <c r="M21" s="154"/>
      <c r="N21" s="154"/>
      <c r="O21" s="154"/>
      <c r="P21" s="155"/>
      <c r="R21" s="151"/>
      <c r="T21" s="152"/>
      <c r="U21" s="144" t="e">
        <f t="shared" si="0"/>
        <v>#DIV/0!</v>
      </c>
      <c r="V21" s="144" t="e">
        <f t="shared" si="1"/>
        <v>#DIV/0!</v>
      </c>
      <c r="W21" s="144" t="e">
        <f t="shared" si="2"/>
        <v>#DIV/0!</v>
      </c>
      <c r="X21" s="144" t="e">
        <f t="shared" si="3"/>
        <v>#DIV/0!</v>
      </c>
      <c r="Y21" s="151"/>
    </row>
    <row r="22" spans="1:25" s="89" customFormat="1" ht="15.75" customHeight="1">
      <c r="A22" s="40" t="s">
        <v>9</v>
      </c>
      <c r="B22" s="140">
        <f>'1.Reel GSYH '!B18</f>
        <v>0</v>
      </c>
      <c r="D22" s="141">
        <f>'1.Reel GSYH '!D18</f>
        <v>0</v>
      </c>
      <c r="E22" s="143">
        <f>'1.Reel GSYH '!K18</f>
        <v>0</v>
      </c>
      <c r="F22" s="143">
        <f>'1.Reel GSYH '!N18</f>
        <v>0</v>
      </c>
      <c r="G22" s="143">
        <f>'1.Reel GSYH '!Q18</f>
        <v>0</v>
      </c>
      <c r="H22" s="143">
        <f>'1.Reel GSYH '!U18</f>
        <v>26.403175000000001</v>
      </c>
      <c r="I22" s="140">
        <f>'1.Reel GSYH '!Y18</f>
        <v>0</v>
      </c>
      <c r="J22" s="84"/>
      <c r="K22" s="153"/>
      <c r="L22" s="154"/>
      <c r="M22" s="154"/>
      <c r="N22" s="154"/>
      <c r="O22" s="154"/>
      <c r="P22" s="155"/>
      <c r="R22" s="151"/>
      <c r="T22" s="152"/>
      <c r="U22" s="144" t="e">
        <f t="shared" si="0"/>
        <v>#DIV/0!</v>
      </c>
      <c r="V22" s="144" t="e">
        <f t="shared" si="1"/>
        <v>#DIV/0!</v>
      </c>
      <c r="W22" s="144" t="e">
        <f t="shared" si="2"/>
        <v>#DIV/0!</v>
      </c>
      <c r="X22" s="144" t="e">
        <f t="shared" si="3"/>
        <v>#DIV/0!</v>
      </c>
      <c r="Y22" s="151"/>
    </row>
    <row r="23" spans="1:25" s="89" customFormat="1" ht="15.75" customHeight="1">
      <c r="A23" s="40" t="s">
        <v>10</v>
      </c>
      <c r="B23" s="140">
        <f>'1.Reel GSYH '!B19</f>
        <v>0</v>
      </c>
      <c r="D23" s="141">
        <f>'1.Reel GSYH '!D19</f>
        <v>0</v>
      </c>
      <c r="E23" s="143">
        <f>'1.Reel GSYH '!K19</f>
        <v>0</v>
      </c>
      <c r="F23" s="143">
        <f>'1.Reel GSYH '!N19</f>
        <v>0</v>
      </c>
      <c r="G23" s="143">
        <f>'1.Reel GSYH '!Q19</f>
        <v>0</v>
      </c>
      <c r="H23" s="143">
        <f>'1.Reel GSYH '!U19</f>
        <v>35.619800000000005</v>
      </c>
      <c r="I23" s="140">
        <f>'1.Reel GSYH '!Y19</f>
        <v>0</v>
      </c>
      <c r="J23" s="84"/>
      <c r="K23" s="153"/>
      <c r="L23" s="154"/>
      <c r="M23" s="154"/>
      <c r="N23" s="154"/>
      <c r="O23" s="154"/>
      <c r="P23" s="155"/>
      <c r="R23" s="151"/>
      <c r="T23" s="152"/>
      <c r="U23" s="144" t="e">
        <f t="shared" si="0"/>
        <v>#DIV/0!</v>
      </c>
      <c r="V23" s="144" t="e">
        <f t="shared" si="1"/>
        <v>#DIV/0!</v>
      </c>
      <c r="W23" s="144" t="e">
        <f t="shared" si="2"/>
        <v>#DIV/0!</v>
      </c>
      <c r="X23" s="144" t="e">
        <f t="shared" si="3"/>
        <v>#DIV/0!</v>
      </c>
      <c r="Y23" s="151"/>
    </row>
    <row r="24" spans="1:25" s="89" customFormat="1" ht="15.75" customHeight="1">
      <c r="A24" s="40" t="s">
        <v>11</v>
      </c>
      <c r="B24" s="140">
        <f>'1.Reel GSYH '!B20</f>
        <v>0</v>
      </c>
      <c r="D24" s="141">
        <f>'1.Reel GSYH '!D20</f>
        <v>0</v>
      </c>
      <c r="E24" s="143">
        <f>'1.Reel GSYH '!K20</f>
        <v>0</v>
      </c>
      <c r="F24" s="143">
        <f>'1.Reel GSYH '!N20</f>
        <v>0</v>
      </c>
      <c r="G24" s="143">
        <f>'1.Reel GSYH '!Q20</f>
        <v>0</v>
      </c>
      <c r="H24" s="143">
        <f>'1.Reel GSYH '!U20</f>
        <v>41.673575</v>
      </c>
      <c r="I24" s="140">
        <f>'1.Reel GSYH '!Y20</f>
        <v>0</v>
      </c>
      <c r="J24" s="84"/>
      <c r="K24" s="153"/>
      <c r="L24" s="154"/>
      <c r="M24" s="154"/>
      <c r="N24" s="154"/>
      <c r="O24" s="154"/>
      <c r="P24" s="155"/>
      <c r="R24" s="151"/>
      <c r="T24" s="152"/>
      <c r="U24" s="144" t="e">
        <f t="shared" si="0"/>
        <v>#DIV/0!</v>
      </c>
      <c r="V24" s="144" t="e">
        <f t="shared" si="1"/>
        <v>#DIV/0!</v>
      </c>
      <c r="W24" s="144" t="e">
        <f t="shared" si="2"/>
        <v>#DIV/0!</v>
      </c>
      <c r="X24" s="144" t="e">
        <f t="shared" si="3"/>
        <v>#DIV/0!</v>
      </c>
      <c r="Y24" s="151"/>
    </row>
    <row r="25" spans="1:25" s="89" customFormat="1" ht="15.75" customHeight="1">
      <c r="A25" s="40" t="s">
        <v>12</v>
      </c>
      <c r="B25" s="140">
        <f>'1.Reel GSYH '!B21</f>
        <v>0</v>
      </c>
      <c r="D25" s="141">
        <f>'1.Reel GSYH '!D21</f>
        <v>0</v>
      </c>
      <c r="E25" s="143">
        <f>'1.Reel GSYH '!K21</f>
        <v>0</v>
      </c>
      <c r="F25" s="143">
        <f>'1.Reel GSYH '!N21</f>
        <v>0</v>
      </c>
      <c r="G25" s="143">
        <f>'1.Reel GSYH '!Q21</f>
        <v>0</v>
      </c>
      <c r="H25" s="143">
        <f>'1.Reel GSYH '!U21</f>
        <v>43.871250000000003</v>
      </c>
      <c r="I25" s="140">
        <f>'1.Reel GSYH '!Y21</f>
        <v>0</v>
      </c>
      <c r="J25" s="84"/>
      <c r="K25" s="153"/>
      <c r="L25" s="154"/>
      <c r="M25" s="154"/>
      <c r="N25" s="154"/>
      <c r="O25" s="154"/>
      <c r="P25" s="155"/>
      <c r="R25" s="151"/>
      <c r="T25" s="152"/>
      <c r="U25" s="144" t="e">
        <f t="shared" si="0"/>
        <v>#DIV/0!</v>
      </c>
      <c r="V25" s="144" t="e">
        <f t="shared" si="1"/>
        <v>#DIV/0!</v>
      </c>
      <c r="W25" s="144" t="e">
        <f t="shared" si="2"/>
        <v>#DIV/0!</v>
      </c>
      <c r="X25" s="144" t="e">
        <f t="shared" si="3"/>
        <v>#DIV/0!</v>
      </c>
      <c r="Y25" s="151"/>
    </row>
    <row r="26" spans="1:25" s="89" customFormat="1" ht="15.75" customHeight="1">
      <c r="A26" s="40" t="s">
        <v>13</v>
      </c>
      <c r="B26" s="140">
        <f>'1.Reel GSYH '!B22</f>
        <v>0</v>
      </c>
      <c r="D26" s="141">
        <f>'1.Reel GSYH '!D22</f>
        <v>0</v>
      </c>
      <c r="E26" s="143">
        <f>'1.Reel GSYH '!K22</f>
        <v>0</v>
      </c>
      <c r="F26" s="143">
        <f>'1.Reel GSYH '!N22</f>
        <v>0</v>
      </c>
      <c r="G26" s="143">
        <f>'1.Reel GSYH '!Q22</f>
        <v>0</v>
      </c>
      <c r="H26" s="143">
        <f>'1.Reel GSYH '!U22</f>
        <v>39.571550000000002</v>
      </c>
      <c r="I26" s="140">
        <f>'1.Reel GSYH '!Y22</f>
        <v>0</v>
      </c>
      <c r="J26" s="84"/>
      <c r="K26" s="153"/>
      <c r="L26" s="154"/>
      <c r="M26" s="154"/>
      <c r="N26" s="154"/>
      <c r="O26" s="154"/>
      <c r="P26" s="155"/>
      <c r="R26" s="151"/>
      <c r="T26" s="152"/>
      <c r="U26" s="144" t="e">
        <f t="shared" si="0"/>
        <v>#DIV/0!</v>
      </c>
      <c r="V26" s="144" t="e">
        <f t="shared" si="1"/>
        <v>#DIV/0!</v>
      </c>
      <c r="W26" s="144" t="e">
        <f t="shared" si="2"/>
        <v>#DIV/0!</v>
      </c>
      <c r="X26" s="144" t="e">
        <f t="shared" si="3"/>
        <v>#DIV/0!</v>
      </c>
      <c r="Y26" s="151"/>
    </row>
    <row r="27" spans="1:25" s="89" customFormat="1" ht="15.75" customHeight="1">
      <c r="A27" s="40" t="s">
        <v>14</v>
      </c>
      <c r="B27" s="140">
        <f>'1.Reel GSYH '!B23</f>
        <v>0</v>
      </c>
      <c r="D27" s="141">
        <f>'1.Reel GSYH '!D23</f>
        <v>0</v>
      </c>
      <c r="E27" s="143">
        <f>'1.Reel GSYH '!K23</f>
        <v>0</v>
      </c>
      <c r="F27" s="143">
        <f>'1.Reel GSYH '!N23</f>
        <v>0</v>
      </c>
      <c r="G27" s="143">
        <f>'1.Reel GSYH '!Q23</f>
        <v>0</v>
      </c>
      <c r="H27" s="143">
        <f>'1.Reel GSYH '!U23</f>
        <v>48.869275000000002</v>
      </c>
      <c r="I27" s="140">
        <f>'1.Reel GSYH '!Y23</f>
        <v>0</v>
      </c>
      <c r="J27" s="84"/>
      <c r="K27" s="153"/>
      <c r="L27" s="154"/>
      <c r="M27" s="154"/>
      <c r="N27" s="154"/>
      <c r="O27" s="154"/>
      <c r="P27" s="155"/>
      <c r="R27" s="151"/>
      <c r="T27" s="152"/>
      <c r="U27" s="144" t="e">
        <f t="shared" si="0"/>
        <v>#DIV/0!</v>
      </c>
      <c r="V27" s="144" t="e">
        <f t="shared" si="1"/>
        <v>#DIV/0!</v>
      </c>
      <c r="W27" s="144" t="e">
        <f t="shared" si="2"/>
        <v>#DIV/0!</v>
      </c>
      <c r="X27" s="144" t="e">
        <f t="shared" si="3"/>
        <v>#DIV/0!</v>
      </c>
      <c r="Y27" s="151"/>
    </row>
    <row r="28" spans="1:25" s="89" customFormat="1" ht="15.75" customHeight="1">
      <c r="A28" s="40" t="s">
        <v>15</v>
      </c>
      <c r="B28" s="140">
        <f>'1.Reel GSYH '!B24</f>
        <v>0</v>
      </c>
      <c r="D28" s="141">
        <f>'1.Reel GSYH '!D24</f>
        <v>0</v>
      </c>
      <c r="E28" s="143">
        <f>'1.Reel GSYH '!K24</f>
        <v>0</v>
      </c>
      <c r="F28" s="143">
        <f>'1.Reel GSYH '!N24</f>
        <v>0</v>
      </c>
      <c r="G28" s="143">
        <f>'1.Reel GSYH '!Q24</f>
        <v>0</v>
      </c>
      <c r="H28" s="143">
        <f>'1.Reel GSYH '!U24</f>
        <v>48.701525000000004</v>
      </c>
      <c r="I28" s="140">
        <f>'1.Reel GSYH '!Y24</f>
        <v>0</v>
      </c>
      <c r="J28" s="84"/>
      <c r="K28" s="153"/>
      <c r="L28" s="154"/>
      <c r="M28" s="154"/>
      <c r="N28" s="154"/>
      <c r="O28" s="154"/>
      <c r="P28" s="155"/>
      <c r="R28" s="151"/>
      <c r="T28" s="152"/>
      <c r="U28" s="144" t="e">
        <f t="shared" si="0"/>
        <v>#DIV/0!</v>
      </c>
      <c r="V28" s="144" t="e">
        <f t="shared" si="1"/>
        <v>#DIV/0!</v>
      </c>
      <c r="W28" s="144" t="e">
        <f t="shared" si="2"/>
        <v>#DIV/0!</v>
      </c>
      <c r="X28" s="144" t="e">
        <f t="shared" si="3"/>
        <v>#DIV/0!</v>
      </c>
      <c r="Y28" s="151"/>
    </row>
    <row r="29" spans="1:25" s="89" customFormat="1" ht="15.75" customHeight="1">
      <c r="A29" s="40" t="s">
        <v>16</v>
      </c>
      <c r="B29" s="140">
        <f>'1.Reel GSYH '!B25</f>
        <v>0</v>
      </c>
      <c r="D29" s="141">
        <f>'1.Reel GSYH '!D25</f>
        <v>0</v>
      </c>
      <c r="E29" s="143">
        <f>'1.Reel GSYH '!K25</f>
        <v>0</v>
      </c>
      <c r="F29" s="143">
        <f>'1.Reel GSYH '!N25</f>
        <v>0</v>
      </c>
      <c r="G29" s="143">
        <f>'1.Reel GSYH '!Q25</f>
        <v>0</v>
      </c>
      <c r="H29" s="143">
        <f>'1.Reel GSYH '!U25</f>
        <v>33.265900000000002</v>
      </c>
      <c r="I29" s="140">
        <f>'1.Reel GSYH '!Y25</f>
        <v>0</v>
      </c>
      <c r="J29" s="84"/>
      <c r="K29" s="153"/>
      <c r="L29" s="154"/>
      <c r="M29" s="154"/>
      <c r="N29" s="154"/>
      <c r="O29" s="154"/>
      <c r="P29" s="155"/>
      <c r="R29" s="151"/>
      <c r="T29" s="152"/>
      <c r="U29" s="144" t="e">
        <f t="shared" si="0"/>
        <v>#DIV/0!</v>
      </c>
      <c r="V29" s="144" t="e">
        <f t="shared" si="1"/>
        <v>#DIV/0!</v>
      </c>
      <c r="W29" s="144" t="e">
        <f t="shared" si="2"/>
        <v>#DIV/0!</v>
      </c>
      <c r="X29" s="144" t="e">
        <f t="shared" si="3"/>
        <v>#DIV/0!</v>
      </c>
      <c r="Y29" s="151"/>
    </row>
    <row r="30" spans="1:25" s="89" customFormat="1" ht="15.75" customHeight="1">
      <c r="A30" s="40" t="s">
        <v>17</v>
      </c>
      <c r="B30" s="140">
        <f>'1.Reel GSYH '!B26</f>
        <v>0</v>
      </c>
      <c r="D30" s="141">
        <f>'1.Reel GSYH '!D26</f>
        <v>0</v>
      </c>
      <c r="E30" s="143">
        <f>'1.Reel GSYH '!K26</f>
        <v>0</v>
      </c>
      <c r="F30" s="143">
        <f>'1.Reel GSYH '!N26</f>
        <v>0</v>
      </c>
      <c r="G30" s="143">
        <f>'1.Reel GSYH '!Q26</f>
        <v>0</v>
      </c>
      <c r="H30" s="143">
        <f>'1.Reel GSYH '!U26</f>
        <v>41.647500000000001</v>
      </c>
      <c r="I30" s="140">
        <f>'1.Reel GSYH '!Y26</f>
        <v>0</v>
      </c>
      <c r="J30" s="84"/>
      <c r="K30" s="153"/>
      <c r="L30" s="154"/>
      <c r="M30" s="154"/>
      <c r="N30" s="154"/>
      <c r="O30" s="154"/>
      <c r="P30" s="155"/>
      <c r="R30" s="151"/>
      <c r="T30" s="152"/>
      <c r="U30" s="144" t="e">
        <f t="shared" si="0"/>
        <v>#DIV/0!</v>
      </c>
      <c r="V30" s="144" t="e">
        <f t="shared" si="1"/>
        <v>#DIV/0!</v>
      </c>
      <c r="W30" s="144" t="e">
        <f t="shared" si="2"/>
        <v>#DIV/0!</v>
      </c>
      <c r="X30" s="144" t="e">
        <f t="shared" si="3"/>
        <v>#DIV/0!</v>
      </c>
      <c r="Y30" s="151"/>
    </row>
    <row r="31" spans="1:25" s="89" customFormat="1" ht="15.75" customHeight="1">
      <c r="A31" s="40" t="s">
        <v>18</v>
      </c>
      <c r="B31" s="140">
        <f>'1.Reel GSYH '!B27</f>
        <v>0</v>
      </c>
      <c r="D31" s="141">
        <f>'1.Reel GSYH '!D27</f>
        <v>0</v>
      </c>
      <c r="E31" s="143">
        <f>'1.Reel GSYH '!K27</f>
        <v>0</v>
      </c>
      <c r="F31" s="143">
        <f>'1.Reel GSYH '!N27</f>
        <v>0</v>
      </c>
      <c r="G31" s="143">
        <f>'1.Reel GSYH '!Q27</f>
        <v>0</v>
      </c>
      <c r="H31" s="143">
        <f>'1.Reel GSYH '!U27</f>
        <v>36.290275000000001</v>
      </c>
      <c r="I31" s="140">
        <f>'1.Reel GSYH '!Y27</f>
        <v>0</v>
      </c>
      <c r="J31" s="84"/>
      <c r="K31" s="153"/>
      <c r="L31" s="154"/>
      <c r="M31" s="154"/>
      <c r="N31" s="154"/>
      <c r="O31" s="154"/>
      <c r="P31" s="155"/>
      <c r="R31" s="151"/>
      <c r="T31" s="152"/>
      <c r="U31" s="144" t="e">
        <f t="shared" si="0"/>
        <v>#DIV/0!</v>
      </c>
      <c r="V31" s="144" t="e">
        <f t="shared" si="1"/>
        <v>#DIV/0!</v>
      </c>
      <c r="W31" s="144" t="e">
        <f t="shared" si="2"/>
        <v>#DIV/0!</v>
      </c>
      <c r="X31" s="144" t="e">
        <f t="shared" si="3"/>
        <v>#DIV/0!</v>
      </c>
      <c r="Y31" s="151"/>
    </row>
    <row r="32" spans="1:25" s="89" customFormat="1" ht="15.75" customHeight="1">
      <c r="A32" s="40" t="s">
        <v>19</v>
      </c>
      <c r="B32" s="140">
        <f>'1.Reel GSYH '!B28</f>
        <v>0</v>
      </c>
      <c r="D32" s="141">
        <f>'1.Reel GSYH '!D28</f>
        <v>0</v>
      </c>
      <c r="E32" s="143">
        <f>'1.Reel GSYH '!K28</f>
        <v>0</v>
      </c>
      <c r="F32" s="143">
        <f>'1.Reel GSYH '!N28</f>
        <v>0</v>
      </c>
      <c r="G32" s="143">
        <f>'1.Reel GSYH '!Q28</f>
        <v>0</v>
      </c>
      <c r="H32" s="143">
        <f>'1.Reel GSYH '!U28</f>
        <v>36.000074999999995</v>
      </c>
      <c r="I32" s="140">
        <f>'1.Reel GSYH '!Y28</f>
        <v>0</v>
      </c>
      <c r="J32" s="84"/>
      <c r="K32" s="153"/>
      <c r="L32" s="154"/>
      <c r="M32" s="154"/>
      <c r="N32" s="154"/>
      <c r="O32" s="154"/>
      <c r="P32" s="155"/>
      <c r="R32" s="151"/>
      <c r="T32" s="152"/>
      <c r="U32" s="144" t="e">
        <f t="shared" si="0"/>
        <v>#DIV/0!</v>
      </c>
      <c r="V32" s="144" t="e">
        <f t="shared" si="1"/>
        <v>#DIV/0!</v>
      </c>
      <c r="W32" s="144" t="e">
        <f t="shared" si="2"/>
        <v>#DIV/0!</v>
      </c>
      <c r="X32" s="144" t="e">
        <f t="shared" si="3"/>
        <v>#DIV/0!</v>
      </c>
      <c r="Y32" s="151"/>
    </row>
    <row r="33" spans="1:25" s="89" customFormat="1" ht="15.75" customHeight="1">
      <c r="A33" s="40" t="s">
        <v>20</v>
      </c>
      <c r="B33" s="140">
        <f>'1.Reel GSYH '!B29</f>
        <v>0</v>
      </c>
      <c r="D33" s="141">
        <f>'1.Reel GSYH '!D29</f>
        <v>0</v>
      </c>
      <c r="E33" s="143">
        <f>'1.Reel GSYH '!K29</f>
        <v>1555721747</v>
      </c>
      <c r="F33" s="143">
        <f>'1.Reel GSYH '!N29</f>
        <v>0</v>
      </c>
      <c r="G33" s="143">
        <f>'1.Reel GSYH '!Q29</f>
        <v>0</v>
      </c>
      <c r="H33" s="143">
        <f>'1.Reel GSYH '!U29</f>
        <v>0</v>
      </c>
      <c r="I33" s="140">
        <f>'1.Reel GSYH '!Y29</f>
        <v>-197231743</v>
      </c>
      <c r="J33" s="84"/>
      <c r="K33" s="153"/>
      <c r="L33" s="154"/>
      <c r="M33" s="154"/>
      <c r="N33" s="154"/>
      <c r="O33" s="154"/>
      <c r="P33" s="155"/>
      <c r="R33" s="151"/>
      <c r="T33" s="152"/>
      <c r="U33" s="144" t="e">
        <f t="shared" si="0"/>
        <v>#DIV/0!</v>
      </c>
      <c r="V33" s="144" t="e">
        <f t="shared" si="1"/>
        <v>#DIV/0!</v>
      </c>
      <c r="W33" s="144" t="e">
        <f t="shared" si="2"/>
        <v>#DIV/0!</v>
      </c>
      <c r="X33" s="144" t="e">
        <f t="shared" si="3"/>
        <v>#DIV/0!</v>
      </c>
      <c r="Y33" s="151"/>
    </row>
    <row r="34" spans="1:25" s="89" customFormat="1" ht="15.75" customHeight="1">
      <c r="A34" s="40" t="s">
        <v>21</v>
      </c>
      <c r="B34" s="140">
        <f>'1.Reel GSYH '!B30</f>
        <v>0</v>
      </c>
      <c r="D34" s="141">
        <f>'1.Reel GSYH '!D30</f>
        <v>0</v>
      </c>
      <c r="E34" s="143">
        <f>'1.Reel GSYH '!K30</f>
        <v>1749982774</v>
      </c>
      <c r="F34" s="143">
        <f>'1.Reel GSYH '!N30</f>
        <v>0</v>
      </c>
      <c r="G34" s="143">
        <f>'1.Reel GSYH '!Q30</f>
        <v>0</v>
      </c>
      <c r="H34" s="143">
        <f>'1.Reel GSYH '!U30</f>
        <v>0</v>
      </c>
      <c r="I34" s="140">
        <f>'1.Reel GSYH '!Y30</f>
        <v>76469527</v>
      </c>
      <c r="J34" s="84"/>
      <c r="K34" s="153"/>
      <c r="L34" s="154"/>
      <c r="M34" s="154"/>
      <c r="N34" s="154"/>
      <c r="O34" s="154"/>
      <c r="P34" s="155"/>
      <c r="Q34" s="40"/>
      <c r="R34" s="151"/>
      <c r="T34" s="152"/>
      <c r="U34" s="144" t="e">
        <f t="shared" si="0"/>
        <v>#DIV/0!</v>
      </c>
      <c r="V34" s="144" t="e">
        <f t="shared" si="1"/>
        <v>#DIV/0!</v>
      </c>
      <c r="W34" s="144" t="e">
        <f t="shared" si="2"/>
        <v>#DIV/0!</v>
      </c>
      <c r="X34" s="144" t="e">
        <f t="shared" si="3"/>
        <v>#DIV/0!</v>
      </c>
      <c r="Y34" s="151"/>
    </row>
    <row r="35" spans="1:25" s="89" customFormat="1" ht="15.75" customHeight="1">
      <c r="A35" s="40" t="s">
        <v>22</v>
      </c>
      <c r="B35" s="140">
        <f>'1.Reel GSYH '!B31</f>
        <v>0</v>
      </c>
      <c r="D35" s="141">
        <f>'1.Reel GSYH '!D31</f>
        <v>0</v>
      </c>
      <c r="E35" s="143">
        <f>'1.Reel GSYH '!K31</f>
        <v>2012876674.0000002</v>
      </c>
      <c r="F35" s="143">
        <f>'1.Reel GSYH '!N31</f>
        <v>0</v>
      </c>
      <c r="G35" s="143">
        <f>'1.Reel GSYH '!Q31</f>
        <v>0</v>
      </c>
      <c r="H35" s="143">
        <f>'1.Reel GSYH '!U31</f>
        <v>0</v>
      </c>
      <c r="I35" s="140">
        <f>'1.Reel GSYH '!Y31</f>
        <v>304414247</v>
      </c>
      <c r="J35" s="84"/>
      <c r="K35" s="153"/>
      <c r="L35" s="154"/>
      <c r="M35" s="154"/>
      <c r="N35" s="154"/>
      <c r="O35" s="154"/>
      <c r="P35" s="155"/>
      <c r="Q35" s="40"/>
      <c r="R35" s="151"/>
      <c r="T35" s="152"/>
      <c r="U35" s="144" t="e">
        <f t="shared" si="0"/>
        <v>#DIV/0!</v>
      </c>
      <c r="V35" s="144" t="e">
        <f t="shared" si="1"/>
        <v>#DIV/0!</v>
      </c>
      <c r="W35" s="144" t="e">
        <f t="shared" si="2"/>
        <v>#DIV/0!</v>
      </c>
      <c r="X35" s="144" t="e">
        <f t="shared" si="3"/>
        <v>#DIV/0!</v>
      </c>
      <c r="Y35" s="151"/>
    </row>
    <row r="36" spans="1:25" s="89" customFormat="1" ht="15.75" customHeight="1">
      <c r="A36" s="40" t="s">
        <v>23</v>
      </c>
      <c r="B36" s="140">
        <f>'1.Reel GSYH '!B32</f>
        <v>0</v>
      </c>
      <c r="D36" s="141">
        <f>'1.Reel GSYH '!D32</f>
        <v>0</v>
      </c>
      <c r="E36" s="143">
        <f>'1.Reel GSYH '!K32</f>
        <v>2317070339</v>
      </c>
      <c r="F36" s="143">
        <f>'1.Reel GSYH '!N32</f>
        <v>0</v>
      </c>
      <c r="G36" s="143">
        <f>'1.Reel GSYH '!Q32</f>
        <v>0</v>
      </c>
      <c r="H36" s="143">
        <f>'1.Reel GSYH '!U32</f>
        <v>0</v>
      </c>
      <c r="I36" s="140">
        <f>'1.Reel GSYH '!Y32</f>
        <v>490505139.99999952</v>
      </c>
      <c r="J36" s="84"/>
      <c r="K36" s="153"/>
      <c r="L36" s="154"/>
      <c r="M36" s="154"/>
      <c r="N36" s="154"/>
      <c r="O36" s="154"/>
      <c r="P36" s="155"/>
      <c r="Q36" s="40"/>
      <c r="R36" s="151"/>
      <c r="T36" s="152"/>
      <c r="U36" s="144" t="e">
        <f t="shared" si="0"/>
        <v>#DIV/0!</v>
      </c>
      <c r="V36" s="144" t="e">
        <f t="shared" si="1"/>
        <v>#DIV/0!</v>
      </c>
      <c r="W36" s="144" t="e">
        <f t="shared" si="2"/>
        <v>#DIV/0!</v>
      </c>
      <c r="X36" s="144" t="e">
        <f t="shared" si="3"/>
        <v>#DIV/0!</v>
      </c>
      <c r="Y36" s="151"/>
    </row>
    <row r="37" spans="1:25" s="89" customFormat="1" ht="15.75" customHeight="1">
      <c r="A37" s="40" t="s">
        <v>24</v>
      </c>
      <c r="B37" s="140">
        <f>'1.Reel GSYH '!B33</f>
        <v>0</v>
      </c>
      <c r="D37" s="141">
        <f>'1.Reel GSYH '!D33</f>
        <v>0</v>
      </c>
      <c r="E37" s="143">
        <f>'1.Reel GSYH '!K33</f>
        <v>2870410633</v>
      </c>
      <c r="F37" s="143">
        <f>'1.Reel GSYH '!N33</f>
        <v>0</v>
      </c>
      <c r="G37" s="143">
        <f>'1.Reel GSYH '!Q33</f>
        <v>0</v>
      </c>
      <c r="H37" s="143">
        <f>'1.Reel GSYH '!U33</f>
        <v>0</v>
      </c>
      <c r="I37" s="140">
        <f>'1.Reel GSYH '!Y33</f>
        <v>582207778</v>
      </c>
      <c r="J37" s="84"/>
      <c r="K37" s="153"/>
      <c r="L37" s="154"/>
      <c r="M37" s="154"/>
      <c r="N37" s="154"/>
      <c r="O37" s="154"/>
      <c r="P37" s="155"/>
      <c r="Q37" s="40"/>
      <c r="R37" s="151"/>
      <c r="T37" s="152"/>
      <c r="U37" s="144" t="e">
        <f t="shared" si="0"/>
        <v>#DIV/0!</v>
      </c>
      <c r="V37" s="144" t="e">
        <f t="shared" si="1"/>
        <v>#DIV/0!</v>
      </c>
      <c r="W37" s="144" t="e">
        <f t="shared" si="2"/>
        <v>#DIV/0!</v>
      </c>
      <c r="X37" s="144" t="e">
        <f t="shared" si="3"/>
        <v>#DIV/0!</v>
      </c>
      <c r="Y37" s="151"/>
    </row>
    <row r="38" spans="1:25" s="89" customFormat="1" ht="15.75" customHeight="1">
      <c r="A38" s="40" t="s">
        <v>25</v>
      </c>
      <c r="B38" s="140">
        <f>'1.Reel GSYH '!B34</f>
        <v>0</v>
      </c>
      <c r="D38" s="141">
        <f>'1.Reel GSYH '!D34</f>
        <v>0</v>
      </c>
      <c r="E38" s="143">
        <f>'1.Reel GSYH '!K34</f>
        <v>3059143782</v>
      </c>
      <c r="F38" s="143">
        <f>'1.Reel GSYH '!N34</f>
        <v>0</v>
      </c>
      <c r="G38" s="143">
        <f>'1.Reel GSYH '!Q34</f>
        <v>0</v>
      </c>
      <c r="H38" s="143">
        <f>'1.Reel GSYH '!U34</f>
        <v>0</v>
      </c>
      <c r="I38" s="140">
        <f>'1.Reel GSYH '!Y34</f>
        <v>-213220079</v>
      </c>
      <c r="J38" s="84"/>
      <c r="K38" s="153"/>
      <c r="L38" s="154"/>
      <c r="M38" s="154"/>
      <c r="N38" s="154"/>
      <c r="O38" s="154"/>
      <c r="P38" s="155"/>
      <c r="Q38" s="40"/>
      <c r="R38" s="151"/>
      <c r="T38" s="152"/>
      <c r="U38" s="144" t="e">
        <f t="shared" si="0"/>
        <v>#DIV/0!</v>
      </c>
      <c r="V38" s="144" t="e">
        <f t="shared" si="1"/>
        <v>#DIV/0!</v>
      </c>
      <c r="W38" s="144" t="e">
        <f t="shared" si="2"/>
        <v>#DIV/0!</v>
      </c>
      <c r="X38" s="144" t="e">
        <f t="shared" si="3"/>
        <v>#DIV/0!</v>
      </c>
      <c r="Y38" s="151"/>
    </row>
    <row r="39" spans="1:25" s="89" customFormat="1" ht="15.75" customHeight="1">
      <c r="A39" s="40" t="s">
        <v>26</v>
      </c>
      <c r="B39" s="140">
        <f>'1.Reel GSYH '!B35</f>
        <v>0</v>
      </c>
      <c r="D39" s="141">
        <f>'1.Reel GSYH '!D35</f>
        <v>0</v>
      </c>
      <c r="E39" s="143">
        <f>'1.Reel GSYH '!K35</f>
        <v>3671287486</v>
      </c>
      <c r="F39" s="143">
        <f>'1.Reel GSYH '!N35</f>
        <v>0</v>
      </c>
      <c r="G39" s="143">
        <f>'1.Reel GSYH '!Q35</f>
        <v>0</v>
      </c>
      <c r="H39" s="143">
        <f>'1.Reel GSYH '!U35</f>
        <v>0</v>
      </c>
      <c r="I39" s="140">
        <f>'1.Reel GSYH '!Y35</f>
        <v>-53293403</v>
      </c>
      <c r="J39" s="84"/>
      <c r="K39" s="153"/>
      <c r="L39" s="154"/>
      <c r="M39" s="154"/>
      <c r="N39" s="154"/>
      <c r="O39" s="154"/>
      <c r="P39" s="155"/>
      <c r="Q39" s="40"/>
      <c r="R39" s="151"/>
      <c r="T39" s="152"/>
      <c r="U39" s="144" t="e">
        <f t="shared" si="0"/>
        <v>#DIV/0!</v>
      </c>
      <c r="V39" s="144" t="e">
        <f t="shared" si="1"/>
        <v>#DIV/0!</v>
      </c>
      <c r="W39" s="144" t="e">
        <f t="shared" si="2"/>
        <v>#DIV/0!</v>
      </c>
      <c r="X39" s="144" t="e">
        <f t="shared" si="3"/>
        <v>#DIV/0!</v>
      </c>
      <c r="Y39" s="151"/>
    </row>
    <row r="40" spans="1:25" s="89" customFormat="1" ht="15.75" customHeight="1">
      <c r="A40" s="40" t="s">
        <v>27</v>
      </c>
      <c r="B40" s="140">
        <f>'1.Reel GSYH '!B36</f>
        <v>0</v>
      </c>
      <c r="D40" s="141">
        <f>'1.Reel GSYH '!D36</f>
        <v>0</v>
      </c>
      <c r="E40" s="143">
        <f>'1.Reel GSYH '!K36</f>
        <v>4001932718</v>
      </c>
      <c r="F40" s="143">
        <f>'1.Reel GSYH '!N36</f>
        <v>0</v>
      </c>
      <c r="G40" s="143">
        <f>'1.Reel GSYH '!Q36</f>
        <v>0</v>
      </c>
      <c r="H40" s="143">
        <f>'1.Reel GSYH '!U36</f>
        <v>0</v>
      </c>
      <c r="I40" s="140">
        <f>'1.Reel GSYH '!Y36</f>
        <v>-361969338</v>
      </c>
      <c r="J40" s="84"/>
      <c r="K40" s="153"/>
      <c r="L40" s="154"/>
      <c r="M40" s="154"/>
      <c r="N40" s="154"/>
      <c r="O40" s="154"/>
      <c r="P40" s="155"/>
      <c r="Q40" s="40"/>
      <c r="R40" s="151"/>
      <c r="T40" s="152"/>
      <c r="U40" s="144" t="e">
        <f t="shared" si="0"/>
        <v>#DIV/0!</v>
      </c>
      <c r="V40" s="144" t="e">
        <f t="shared" si="1"/>
        <v>#DIV/0!</v>
      </c>
      <c r="W40" s="144" t="e">
        <f t="shared" si="2"/>
        <v>#DIV/0!</v>
      </c>
      <c r="X40" s="144" t="e">
        <f t="shared" si="3"/>
        <v>#DIV/0!</v>
      </c>
      <c r="Y40" s="151"/>
    </row>
    <row r="41" spans="1:25" s="89" customFormat="1" ht="15.75" customHeight="1">
      <c r="A41" s="40" t="s">
        <v>28</v>
      </c>
      <c r="B41" s="140">
        <f>'1.Reel GSYH '!B37</f>
        <v>0</v>
      </c>
      <c r="D41" s="141">
        <f>'1.Reel GSYH '!D37</f>
        <v>0</v>
      </c>
      <c r="E41" s="143">
        <f>'1.Reel GSYH '!K37</f>
        <v>4459007547</v>
      </c>
      <c r="F41" s="143">
        <f>'1.Reel GSYH '!N37</f>
        <v>0</v>
      </c>
      <c r="G41" s="143">
        <f>'1.Reel GSYH '!Q37</f>
        <v>0</v>
      </c>
      <c r="H41" s="143">
        <f>'1.Reel GSYH '!U37</f>
        <v>0</v>
      </c>
      <c r="I41" s="140">
        <f>'1.Reel GSYH '!Y37</f>
        <v>-1274080680</v>
      </c>
      <c r="J41" s="84"/>
      <c r="K41" s="153"/>
      <c r="L41" s="154"/>
      <c r="M41" s="154"/>
      <c r="N41" s="154"/>
      <c r="O41" s="154"/>
      <c r="P41" s="155"/>
      <c r="Q41" s="40"/>
      <c r="R41" s="151"/>
      <c r="T41" s="152"/>
      <c r="U41" s="144" t="e">
        <f t="shared" si="0"/>
        <v>#DIV/0!</v>
      </c>
      <c r="V41" s="144" t="e">
        <f t="shared" si="1"/>
        <v>#DIV/0!</v>
      </c>
      <c r="W41" s="144" t="e">
        <f t="shared" si="2"/>
        <v>#DIV/0!</v>
      </c>
      <c r="X41" s="144" t="e">
        <f t="shared" si="3"/>
        <v>#DIV/0!</v>
      </c>
      <c r="Y41" s="151"/>
    </row>
    <row r="42" spans="1:25" s="89" customFormat="1" ht="15.75" customHeight="1">
      <c r="A42" s="40" t="s">
        <v>29</v>
      </c>
      <c r="B42" s="140">
        <f>'1.Reel GSYH '!B38</f>
        <v>0</v>
      </c>
      <c r="D42" s="141">
        <f>'1.Reel GSYH '!D38</f>
        <v>0</v>
      </c>
      <c r="E42" s="143">
        <f>'1.Reel GSYH '!K38</f>
        <v>4955868912</v>
      </c>
      <c r="F42" s="143">
        <f>'1.Reel GSYH '!N38</f>
        <v>0</v>
      </c>
      <c r="G42" s="143">
        <f>'1.Reel GSYH '!Q38</f>
        <v>0</v>
      </c>
      <c r="H42" s="143">
        <f>'1.Reel GSYH '!U38</f>
        <v>0</v>
      </c>
      <c r="I42" s="140">
        <f>'1.Reel GSYH '!Y38</f>
        <v>-1072578708.000001</v>
      </c>
      <c r="J42" s="84"/>
      <c r="K42" s="153"/>
      <c r="L42" s="154"/>
      <c r="M42" s="154"/>
      <c r="N42" s="154"/>
      <c r="O42" s="154"/>
      <c r="P42" s="155"/>
      <c r="Q42" s="40"/>
      <c r="R42" s="151"/>
      <c r="T42" s="152"/>
      <c r="U42" s="144" t="e">
        <f t="shared" si="0"/>
        <v>#DIV/0!</v>
      </c>
      <c r="V42" s="144" t="e">
        <f t="shared" si="1"/>
        <v>#DIV/0!</v>
      </c>
      <c r="W42" s="144" t="e">
        <f t="shared" si="2"/>
        <v>#DIV/0!</v>
      </c>
      <c r="X42" s="144" t="e">
        <f t="shared" si="3"/>
        <v>#DIV/0!</v>
      </c>
      <c r="Y42" s="151"/>
    </row>
    <row r="43" spans="1:25" s="89" customFormat="1" ht="15.75" customHeight="1">
      <c r="A43" s="40" t="s">
        <v>30</v>
      </c>
      <c r="B43" s="140">
        <f>'1.Reel GSYH '!B39</f>
        <v>0</v>
      </c>
      <c r="D43" s="141">
        <f>'1.Reel GSYH '!D39</f>
        <v>0</v>
      </c>
      <c r="E43" s="143">
        <f>'1.Reel GSYH '!K39</f>
        <v>5358721868</v>
      </c>
      <c r="F43" s="143">
        <f>'1.Reel GSYH '!N39</f>
        <v>0</v>
      </c>
      <c r="G43" s="143">
        <f>'1.Reel GSYH '!Q39</f>
        <v>0</v>
      </c>
      <c r="H43" s="143">
        <f>'1.Reel GSYH '!U39</f>
        <v>0</v>
      </c>
      <c r="I43" s="140">
        <f>'1.Reel GSYH '!Y39</f>
        <v>-857507685</v>
      </c>
      <c r="J43" s="84"/>
      <c r="K43" s="153"/>
      <c r="L43" s="154"/>
      <c r="M43" s="154"/>
      <c r="N43" s="154"/>
      <c r="O43" s="154"/>
      <c r="P43" s="155"/>
      <c r="Q43" s="40"/>
      <c r="R43" s="151"/>
      <c r="T43" s="152"/>
      <c r="U43" s="144" t="e">
        <f t="shared" si="0"/>
        <v>#DIV/0!</v>
      </c>
      <c r="V43" s="144" t="e">
        <f t="shared" si="1"/>
        <v>#DIV/0!</v>
      </c>
      <c r="W43" s="144" t="e">
        <f t="shared" si="2"/>
        <v>#DIV/0!</v>
      </c>
      <c r="X43" s="144" t="e">
        <f t="shared" si="3"/>
        <v>#DIV/0!</v>
      </c>
      <c r="Y43" s="151"/>
    </row>
    <row r="44" spans="1:25" s="89" customFormat="1" ht="15.75" customHeight="1">
      <c r="A44" s="40" t="s">
        <v>31</v>
      </c>
      <c r="B44" s="140">
        <f>'1.Reel GSYH '!B40</f>
        <v>0</v>
      </c>
      <c r="D44" s="141">
        <f>'1.Reel GSYH '!D40</f>
        <v>0</v>
      </c>
      <c r="E44" s="143">
        <f>'1.Reel GSYH '!K40</f>
        <v>5683358116</v>
      </c>
      <c r="F44" s="143">
        <f>'1.Reel GSYH '!N40</f>
        <v>0</v>
      </c>
      <c r="G44" s="143">
        <f>'1.Reel GSYH '!Q40</f>
        <v>0</v>
      </c>
      <c r="H44" s="143">
        <f>'1.Reel GSYH '!U40</f>
        <v>0</v>
      </c>
      <c r="I44" s="140">
        <f>'1.Reel GSYH '!Y40</f>
        <v>-1241030156</v>
      </c>
      <c r="J44" s="84"/>
      <c r="K44" s="153"/>
      <c r="L44" s="154"/>
      <c r="M44" s="154"/>
      <c r="N44" s="154"/>
      <c r="O44" s="154"/>
      <c r="P44" s="155"/>
      <c r="Q44" s="40"/>
      <c r="R44" s="151"/>
      <c r="T44" s="152"/>
      <c r="U44" s="144" t="e">
        <f t="shared" si="0"/>
        <v>#DIV/0!</v>
      </c>
      <c r="V44" s="144" t="e">
        <f t="shared" si="1"/>
        <v>#DIV/0!</v>
      </c>
      <c r="W44" s="144" t="e">
        <f t="shared" si="2"/>
        <v>#DIV/0!</v>
      </c>
      <c r="X44" s="144" t="e">
        <f t="shared" si="3"/>
        <v>#DIV/0!</v>
      </c>
      <c r="Y44" s="151"/>
    </row>
    <row r="45" spans="1:25" s="89" customFormat="1" ht="15.75" customHeight="1">
      <c r="A45" s="40" t="s">
        <v>32</v>
      </c>
      <c r="B45" s="140">
        <f>'1.Reel GSYH '!B41</f>
        <v>0</v>
      </c>
      <c r="D45" s="141">
        <f>'1.Reel GSYH '!D41</f>
        <v>0</v>
      </c>
      <c r="E45" s="143">
        <f>'1.Reel GSYH '!K41</f>
        <v>5969689833</v>
      </c>
      <c r="F45" s="143">
        <f>'1.Reel GSYH '!N41</f>
        <v>0</v>
      </c>
      <c r="G45" s="143">
        <f>'1.Reel GSYH '!Q41</f>
        <v>0</v>
      </c>
      <c r="H45" s="143">
        <f>'1.Reel GSYH '!U41</f>
        <v>0</v>
      </c>
      <c r="I45" s="140">
        <f>'1.Reel GSYH '!Y41</f>
        <v>718307690</v>
      </c>
      <c r="J45" s="84"/>
      <c r="K45" s="153"/>
      <c r="L45" s="154"/>
      <c r="M45" s="154"/>
      <c r="N45" s="154"/>
      <c r="O45" s="154"/>
      <c r="P45" s="155"/>
      <c r="Q45" s="40"/>
      <c r="R45" s="151"/>
      <c r="T45" s="152"/>
      <c r="U45" s="144" t="e">
        <f t="shared" si="0"/>
        <v>#DIV/0!</v>
      </c>
      <c r="V45" s="144" t="e">
        <f t="shared" si="1"/>
        <v>#DIV/0!</v>
      </c>
      <c r="W45" s="144" t="e">
        <f t="shared" si="2"/>
        <v>#DIV/0!</v>
      </c>
      <c r="X45" s="144" t="e">
        <f t="shared" si="3"/>
        <v>#DIV/0!</v>
      </c>
      <c r="Y45" s="151"/>
    </row>
    <row r="46" spans="1:25" s="89" customFormat="1" ht="15.75" customHeight="1">
      <c r="A46" s="40" t="s">
        <v>33</v>
      </c>
      <c r="B46" s="140">
        <f>'1.Reel GSYH '!B42</f>
        <v>0</v>
      </c>
      <c r="D46" s="141">
        <f>'1.Reel GSYH '!D42</f>
        <v>0</v>
      </c>
      <c r="E46" s="143">
        <f>'1.Reel GSYH '!K42</f>
        <v>7541232014</v>
      </c>
      <c r="F46" s="143">
        <f>'1.Reel GSYH '!N42</f>
        <v>0</v>
      </c>
      <c r="G46" s="143">
        <f>'1.Reel GSYH '!Q42</f>
        <v>0</v>
      </c>
      <c r="H46" s="143">
        <f>'1.Reel GSYH '!U42</f>
        <v>0</v>
      </c>
      <c r="I46" s="140">
        <f>'1.Reel GSYH '!Y42</f>
        <v>3976925359.9999981</v>
      </c>
      <c r="J46" s="84"/>
      <c r="K46" s="153"/>
      <c r="L46" s="154"/>
      <c r="M46" s="154"/>
      <c r="N46" s="154"/>
      <c r="O46" s="154"/>
      <c r="P46" s="155"/>
      <c r="Q46" s="40"/>
      <c r="R46" s="151"/>
      <c r="T46" s="152"/>
      <c r="U46" s="144" t="e">
        <f t="shared" si="0"/>
        <v>#DIV/0!</v>
      </c>
      <c r="V46" s="144" t="e">
        <f t="shared" si="1"/>
        <v>#DIV/0!</v>
      </c>
      <c r="W46" s="144" t="e">
        <f t="shared" si="2"/>
        <v>#DIV/0!</v>
      </c>
      <c r="X46" s="144" t="e">
        <f t="shared" si="3"/>
        <v>#DIV/0!</v>
      </c>
      <c r="Y46" s="151"/>
    </row>
    <row r="47" spans="1:25" s="89" customFormat="1" ht="15.75" customHeight="1">
      <c r="A47" s="40" t="s">
        <v>34</v>
      </c>
      <c r="B47" s="140">
        <f>'1.Reel GSYH '!B43</f>
        <v>0</v>
      </c>
      <c r="D47" s="141">
        <f>'1.Reel GSYH '!D43</f>
        <v>0</v>
      </c>
      <c r="E47" s="143">
        <f>'1.Reel GSYH '!K43</f>
        <v>8189682740</v>
      </c>
      <c r="F47" s="143">
        <f>'1.Reel GSYH '!N43</f>
        <v>0</v>
      </c>
      <c r="G47" s="143">
        <f>'1.Reel GSYH '!Q43</f>
        <v>0</v>
      </c>
      <c r="H47" s="143">
        <f>'1.Reel GSYH '!U43</f>
        <v>0</v>
      </c>
      <c r="I47" s="140">
        <f>'1.Reel GSYH '!Y43</f>
        <v>3540629900</v>
      </c>
      <c r="J47" s="84"/>
      <c r="K47" s="153"/>
      <c r="L47" s="154"/>
      <c r="M47" s="154"/>
      <c r="N47" s="154"/>
      <c r="O47" s="154"/>
      <c r="P47" s="155"/>
      <c r="Q47" s="40"/>
      <c r="R47" s="151"/>
      <c r="T47" s="152"/>
      <c r="U47" s="144" t="e">
        <f t="shared" si="0"/>
        <v>#DIV/0!</v>
      </c>
      <c r="V47" s="144" t="e">
        <f t="shared" si="1"/>
        <v>#DIV/0!</v>
      </c>
      <c r="W47" s="144" t="e">
        <f t="shared" si="2"/>
        <v>#DIV/0!</v>
      </c>
      <c r="X47" s="144" t="e">
        <f t="shared" si="3"/>
        <v>#DIV/0!</v>
      </c>
      <c r="Y47" s="151"/>
    </row>
    <row r="48" spans="1:25" s="89" customFormat="1" ht="15.75" customHeight="1">
      <c r="A48" s="40" t="s">
        <v>35</v>
      </c>
      <c r="B48" s="140">
        <f>'1.Reel GSYH '!B44</f>
        <v>0</v>
      </c>
      <c r="D48" s="141">
        <f>'1.Reel GSYH '!D44</f>
        <v>0</v>
      </c>
      <c r="E48" s="143">
        <f>'1.Reel GSYH '!K44</f>
        <v>9568485017</v>
      </c>
      <c r="F48" s="143">
        <f>'1.Reel GSYH '!N44</f>
        <v>0</v>
      </c>
      <c r="G48" s="143">
        <f>'1.Reel GSYH '!Q44</f>
        <v>0</v>
      </c>
      <c r="H48" s="143">
        <f>'1.Reel GSYH '!U44</f>
        <v>0</v>
      </c>
      <c r="I48" s="140">
        <f>'1.Reel GSYH '!Y44</f>
        <v>2872345490.0000019</v>
      </c>
      <c r="J48" s="84"/>
      <c r="K48" s="153"/>
      <c r="L48" s="154"/>
      <c r="M48" s="154"/>
      <c r="N48" s="154"/>
      <c r="O48" s="154"/>
      <c r="P48" s="155"/>
      <c r="Q48" s="40"/>
      <c r="R48" s="151"/>
      <c r="T48" s="152"/>
      <c r="U48" s="144" t="e">
        <f t="shared" si="0"/>
        <v>#DIV/0!</v>
      </c>
      <c r="V48" s="144" t="e">
        <f t="shared" si="1"/>
        <v>#DIV/0!</v>
      </c>
      <c r="W48" s="144" t="e">
        <f t="shared" si="2"/>
        <v>#DIV/0!</v>
      </c>
      <c r="X48" s="144" t="e">
        <f t="shared" si="3"/>
        <v>#DIV/0!</v>
      </c>
      <c r="Y48" s="151"/>
    </row>
    <row r="49" spans="1:25" s="89" customFormat="1" ht="15.75" customHeight="1">
      <c r="A49" s="40" t="s">
        <v>36</v>
      </c>
      <c r="B49" s="140">
        <f>'1.Reel GSYH '!B45</f>
        <v>0</v>
      </c>
      <c r="D49" s="141">
        <f>'1.Reel GSYH '!D45</f>
        <v>0</v>
      </c>
      <c r="E49" s="143">
        <f>'1.Reel GSYH '!K45</f>
        <v>10227237940</v>
      </c>
      <c r="F49" s="143">
        <f>'1.Reel GSYH '!N45</f>
        <v>0</v>
      </c>
      <c r="G49" s="143">
        <f>'1.Reel GSYH '!Q45</f>
        <v>0</v>
      </c>
      <c r="H49" s="143">
        <f>'1.Reel GSYH '!U45</f>
        <v>0</v>
      </c>
      <c r="I49" s="140">
        <f>'1.Reel GSYH '!Y45</f>
        <v>1649344670</v>
      </c>
      <c r="J49" s="84"/>
      <c r="K49" s="153"/>
      <c r="L49" s="154"/>
      <c r="M49" s="154"/>
      <c r="N49" s="154"/>
      <c r="O49" s="154"/>
      <c r="P49" s="155"/>
      <c r="Q49" s="40"/>
      <c r="R49" s="151"/>
      <c r="T49" s="152"/>
      <c r="U49" s="144" t="e">
        <f t="shared" si="0"/>
        <v>#DIV/0!</v>
      </c>
      <c r="V49" s="144" t="e">
        <f t="shared" si="1"/>
        <v>#DIV/0!</v>
      </c>
      <c r="W49" s="144" t="e">
        <f t="shared" si="2"/>
        <v>#DIV/0!</v>
      </c>
      <c r="X49" s="144" t="e">
        <f t="shared" si="3"/>
        <v>#DIV/0!</v>
      </c>
      <c r="Y49" s="151"/>
    </row>
    <row r="50" spans="1:25" s="89" customFormat="1" ht="15.75" customHeight="1">
      <c r="A50" s="40" t="s">
        <v>37</v>
      </c>
      <c r="B50" s="140">
        <f>'1.Reel GSYH '!B46</f>
        <v>0</v>
      </c>
      <c r="D50" s="141">
        <f>'1.Reel GSYH '!D46</f>
        <v>0</v>
      </c>
      <c r="E50" s="143">
        <f>'1.Reel GSYH '!K46</f>
        <v>11223731650</v>
      </c>
      <c r="F50" s="143">
        <f>'1.Reel GSYH '!N46</f>
        <v>0</v>
      </c>
      <c r="G50" s="143">
        <f>'1.Reel GSYH '!Q46</f>
        <v>0</v>
      </c>
      <c r="H50" s="143">
        <f>'1.Reel GSYH '!U46</f>
        <v>0</v>
      </c>
      <c r="I50" s="140">
        <f>'1.Reel GSYH '!Y46</f>
        <v>1729195870</v>
      </c>
      <c r="J50" s="84"/>
      <c r="K50" s="153"/>
      <c r="L50" s="154"/>
      <c r="M50" s="154"/>
      <c r="N50" s="154"/>
      <c r="O50" s="154"/>
      <c r="P50" s="155"/>
      <c r="R50" s="151"/>
      <c r="T50" s="152"/>
      <c r="U50" s="144" t="e">
        <f t="shared" ref="U50:U81" si="4">((E50-E46)/($B46))*100</f>
        <v>#DIV/0!</v>
      </c>
      <c r="V50" s="144" t="e">
        <f t="shared" ref="V50:V81" si="5">((F50-F46)/($B46))*100</f>
        <v>#DIV/0!</v>
      </c>
      <c r="W50" s="144" t="e">
        <f t="shared" ref="W50:W81" si="6">((G50-G46)/($B46))*100</f>
        <v>#DIV/0!</v>
      </c>
      <c r="X50" s="144" t="e">
        <f t="shared" ref="X50:X81" si="7">((H50-H46)/($B46))*100</f>
        <v>#DIV/0!</v>
      </c>
      <c r="Y50" s="151"/>
    </row>
    <row r="51" spans="1:25" s="89" customFormat="1" ht="15.75" customHeight="1">
      <c r="A51" s="40" t="s">
        <v>38</v>
      </c>
      <c r="B51" s="140">
        <f>'1.Reel GSYH '!B47</f>
        <v>0</v>
      </c>
      <c r="D51" s="141">
        <f>'1.Reel GSYH '!D47</f>
        <v>0</v>
      </c>
      <c r="E51" s="143">
        <f>'1.Reel GSYH '!K47</f>
        <v>11869584770</v>
      </c>
      <c r="F51" s="143">
        <f>'1.Reel GSYH '!N47</f>
        <v>0</v>
      </c>
      <c r="G51" s="143">
        <f>'1.Reel GSYH '!Q47</f>
        <v>0</v>
      </c>
      <c r="H51" s="143">
        <f>'1.Reel GSYH '!U47</f>
        <v>0</v>
      </c>
      <c r="I51" s="140">
        <f>'1.Reel GSYH '!Y47</f>
        <v>3161835040</v>
      </c>
      <c r="J51" s="84"/>
      <c r="K51" s="153"/>
      <c r="L51" s="154"/>
      <c r="M51" s="154"/>
      <c r="N51" s="154"/>
      <c r="O51" s="154"/>
      <c r="P51" s="155"/>
      <c r="R51" s="151"/>
      <c r="T51" s="152"/>
      <c r="U51" s="144" t="e">
        <f t="shared" si="4"/>
        <v>#DIV/0!</v>
      </c>
      <c r="V51" s="144" t="e">
        <f t="shared" si="5"/>
        <v>#DIV/0!</v>
      </c>
      <c r="W51" s="144" t="e">
        <f t="shared" si="6"/>
        <v>#DIV/0!</v>
      </c>
      <c r="X51" s="144" t="e">
        <f t="shared" si="7"/>
        <v>#DIV/0!</v>
      </c>
      <c r="Y51" s="151"/>
    </row>
    <row r="52" spans="1:25" s="89" customFormat="1" ht="15.75" customHeight="1">
      <c r="A52" s="40" t="s">
        <v>39</v>
      </c>
      <c r="B52" s="140">
        <f>'1.Reel GSYH '!B48</f>
        <v>0</v>
      </c>
      <c r="D52" s="141">
        <f>'1.Reel GSYH '!D48</f>
        <v>0</v>
      </c>
      <c r="E52" s="143">
        <f>'1.Reel GSYH '!K48</f>
        <v>13158630590</v>
      </c>
      <c r="F52" s="143">
        <f>'1.Reel GSYH '!N48</f>
        <v>0</v>
      </c>
      <c r="G52" s="143">
        <f>'1.Reel GSYH '!Q48</f>
        <v>0</v>
      </c>
      <c r="H52" s="143">
        <f>'1.Reel GSYH '!U48</f>
        <v>0</v>
      </c>
      <c r="I52" s="140">
        <f>'1.Reel GSYH '!Y48</f>
        <v>1526862460</v>
      </c>
      <c r="J52" s="84"/>
      <c r="K52" s="153"/>
      <c r="L52" s="154"/>
      <c r="M52" s="154"/>
      <c r="N52" s="154"/>
      <c r="O52" s="154"/>
      <c r="P52" s="155"/>
      <c r="R52" s="151"/>
      <c r="T52" s="152"/>
      <c r="U52" s="144" t="e">
        <f t="shared" si="4"/>
        <v>#DIV/0!</v>
      </c>
      <c r="V52" s="144" t="e">
        <f t="shared" si="5"/>
        <v>#DIV/0!</v>
      </c>
      <c r="W52" s="144" t="e">
        <f t="shared" si="6"/>
        <v>#DIV/0!</v>
      </c>
      <c r="X52" s="144" t="e">
        <f t="shared" si="7"/>
        <v>#DIV/0!</v>
      </c>
      <c r="Y52" s="151"/>
    </row>
    <row r="53" spans="1:25" s="89" customFormat="1" ht="15.75" customHeight="1">
      <c r="A53" s="40" t="s">
        <v>40</v>
      </c>
      <c r="B53" s="140">
        <f>'1.Reel GSYH '!B49</f>
        <v>0</v>
      </c>
      <c r="D53" s="141">
        <f>'1.Reel GSYH '!D49</f>
        <v>0</v>
      </c>
      <c r="E53" s="143">
        <f>'1.Reel GSYH '!K49</f>
        <v>13749134910</v>
      </c>
      <c r="F53" s="143">
        <f>'1.Reel GSYH '!N49</f>
        <v>0</v>
      </c>
      <c r="G53" s="143">
        <f>'1.Reel GSYH '!Q49</f>
        <v>0</v>
      </c>
      <c r="H53" s="143">
        <f>'1.Reel GSYH '!U49</f>
        <v>0</v>
      </c>
      <c r="I53" s="140">
        <f>'1.Reel GSYH '!Y49</f>
        <v>-673176040</v>
      </c>
      <c r="J53" s="84"/>
      <c r="K53" s="153"/>
      <c r="L53" s="154"/>
      <c r="M53" s="154"/>
      <c r="N53" s="154"/>
      <c r="O53" s="154"/>
      <c r="P53" s="155"/>
      <c r="R53" s="151"/>
      <c r="T53" s="152"/>
      <c r="U53" s="144" t="e">
        <f t="shared" si="4"/>
        <v>#DIV/0!</v>
      </c>
      <c r="V53" s="144" t="e">
        <f t="shared" si="5"/>
        <v>#DIV/0!</v>
      </c>
      <c r="W53" s="144" t="e">
        <f t="shared" si="6"/>
        <v>#DIV/0!</v>
      </c>
      <c r="X53" s="144" t="e">
        <f t="shared" si="7"/>
        <v>#DIV/0!</v>
      </c>
      <c r="Y53" s="151"/>
    </row>
    <row r="54" spans="1:25" s="89" customFormat="1" ht="15.75" customHeight="1">
      <c r="A54" s="40" t="s">
        <v>41</v>
      </c>
      <c r="B54" s="140">
        <f>'1.Reel GSYH '!B50</f>
        <v>0</v>
      </c>
      <c r="D54" s="141">
        <f>'1.Reel GSYH '!D50</f>
        <v>0</v>
      </c>
      <c r="E54" s="143">
        <f>'1.Reel GSYH '!K50</f>
        <v>14610993640</v>
      </c>
      <c r="F54" s="143">
        <f>'1.Reel GSYH '!N50</f>
        <v>0</v>
      </c>
      <c r="G54" s="143">
        <f>'1.Reel GSYH '!Q50</f>
        <v>0</v>
      </c>
      <c r="H54" s="143">
        <f>'1.Reel GSYH '!U50</f>
        <v>0</v>
      </c>
      <c r="I54" s="140">
        <f>'1.Reel GSYH '!Y50</f>
        <v>-52434510</v>
      </c>
      <c r="J54" s="84"/>
      <c r="K54" s="153"/>
      <c r="L54" s="154"/>
      <c r="M54" s="154"/>
      <c r="N54" s="154"/>
      <c r="O54" s="154"/>
      <c r="P54" s="155"/>
      <c r="R54" s="151"/>
      <c r="T54" s="152"/>
      <c r="U54" s="144" t="e">
        <f t="shared" si="4"/>
        <v>#DIV/0!</v>
      </c>
      <c r="V54" s="144" t="e">
        <f t="shared" si="5"/>
        <v>#DIV/0!</v>
      </c>
      <c r="W54" s="144" t="e">
        <f t="shared" si="6"/>
        <v>#DIV/0!</v>
      </c>
      <c r="X54" s="144" t="e">
        <f t="shared" si="7"/>
        <v>#DIV/0!</v>
      </c>
      <c r="Y54" s="151"/>
    </row>
    <row r="55" spans="1:25" s="89" customFormat="1" ht="15.75" customHeight="1">
      <c r="A55" s="40" t="s">
        <v>42</v>
      </c>
      <c r="B55" s="140">
        <f>'1.Reel GSYH '!B51</f>
        <v>0</v>
      </c>
      <c r="D55" s="141">
        <f>'1.Reel GSYH '!D51</f>
        <v>0</v>
      </c>
      <c r="E55" s="143">
        <f>'1.Reel GSYH '!K51</f>
        <v>15764751070</v>
      </c>
      <c r="F55" s="143">
        <f>'1.Reel GSYH '!N51</f>
        <v>0</v>
      </c>
      <c r="G55" s="143">
        <f>'1.Reel GSYH '!Q51</f>
        <v>0</v>
      </c>
      <c r="H55" s="143">
        <f>'1.Reel GSYH '!U51</f>
        <v>0</v>
      </c>
      <c r="I55" s="140">
        <f>'1.Reel GSYH '!Y51</f>
        <v>1118932530</v>
      </c>
      <c r="J55" s="84"/>
      <c r="K55" s="153"/>
      <c r="L55" s="154"/>
      <c r="M55" s="154"/>
      <c r="N55" s="154"/>
      <c r="O55" s="154"/>
      <c r="P55" s="155"/>
      <c r="R55" s="151"/>
      <c r="T55" s="152"/>
      <c r="U55" s="144" t="e">
        <f t="shared" si="4"/>
        <v>#DIV/0!</v>
      </c>
      <c r="V55" s="144" t="e">
        <f t="shared" si="5"/>
        <v>#DIV/0!</v>
      </c>
      <c r="W55" s="144" t="e">
        <f t="shared" si="6"/>
        <v>#DIV/0!</v>
      </c>
      <c r="X55" s="144" t="e">
        <f t="shared" si="7"/>
        <v>#DIV/0!</v>
      </c>
      <c r="Y55" s="151"/>
    </row>
    <row r="56" spans="1:25" s="89" customFormat="1" ht="15.75" customHeight="1">
      <c r="A56" s="40" t="s">
        <v>43</v>
      </c>
      <c r="B56" s="140">
        <f>'1.Reel GSYH '!B52</f>
        <v>0</v>
      </c>
      <c r="D56" s="141">
        <f>'1.Reel GSYH '!D52</f>
        <v>0</v>
      </c>
      <c r="E56" s="143">
        <f>'1.Reel GSYH '!K52</f>
        <v>15323524600</v>
      </c>
      <c r="F56" s="143">
        <f>'1.Reel GSYH '!N52</f>
        <v>0</v>
      </c>
      <c r="G56" s="143">
        <f>'1.Reel GSYH '!Q52</f>
        <v>0</v>
      </c>
      <c r="H56" s="143">
        <f>'1.Reel GSYH '!U52</f>
        <v>0</v>
      </c>
      <c r="I56" s="140">
        <f>'1.Reel GSYH '!Y52</f>
        <v>-1397828870</v>
      </c>
      <c r="J56" s="84"/>
      <c r="K56" s="153"/>
      <c r="L56" s="154"/>
      <c r="M56" s="154"/>
      <c r="N56" s="154"/>
      <c r="O56" s="154"/>
      <c r="P56" s="155"/>
      <c r="R56" s="151"/>
      <c r="T56" s="152"/>
      <c r="U56" s="144" t="e">
        <f t="shared" si="4"/>
        <v>#DIV/0!</v>
      </c>
      <c r="V56" s="144" t="e">
        <f t="shared" si="5"/>
        <v>#DIV/0!</v>
      </c>
      <c r="W56" s="144" t="e">
        <f t="shared" si="6"/>
        <v>#DIV/0!</v>
      </c>
      <c r="X56" s="144" t="e">
        <f t="shared" si="7"/>
        <v>#DIV/0!</v>
      </c>
      <c r="Y56" s="151"/>
    </row>
    <row r="57" spans="1:25" s="89" customFormat="1" ht="15.75" customHeight="1">
      <c r="A57" s="40" t="s">
        <v>44</v>
      </c>
      <c r="B57" s="140">
        <f>'1.Reel GSYH '!B53</f>
        <v>0</v>
      </c>
      <c r="D57" s="141">
        <f>'1.Reel GSYH '!D53</f>
        <v>0</v>
      </c>
      <c r="E57" s="143">
        <f>'1.Reel GSYH '!K53</f>
        <v>16964065699.999998</v>
      </c>
      <c r="F57" s="143">
        <f>'1.Reel GSYH '!N53</f>
        <v>0</v>
      </c>
      <c r="G57" s="143">
        <f>'1.Reel GSYH '!Q53</f>
        <v>0</v>
      </c>
      <c r="H57" s="143">
        <f>'1.Reel GSYH '!U53</f>
        <v>0</v>
      </c>
      <c r="I57" s="140">
        <f>'1.Reel GSYH '!Y53</f>
        <v>-3757861150.0000038</v>
      </c>
      <c r="J57" s="84"/>
      <c r="K57" s="153"/>
      <c r="L57" s="154"/>
      <c r="M57" s="154"/>
      <c r="N57" s="154"/>
      <c r="O57" s="154"/>
      <c r="P57" s="155"/>
      <c r="R57" s="151"/>
      <c r="T57" s="152"/>
      <c r="U57" s="144" t="e">
        <f t="shared" si="4"/>
        <v>#DIV/0!</v>
      </c>
      <c r="V57" s="144" t="e">
        <f t="shared" si="5"/>
        <v>#DIV/0!</v>
      </c>
      <c r="W57" s="144" t="e">
        <f t="shared" si="6"/>
        <v>#DIV/0!</v>
      </c>
      <c r="X57" s="144" t="e">
        <f t="shared" si="7"/>
        <v>#DIV/0!</v>
      </c>
      <c r="Y57" s="151"/>
    </row>
    <row r="58" spans="1:25" s="89" customFormat="1" ht="15.75" customHeight="1">
      <c r="A58" s="40" t="s">
        <v>45</v>
      </c>
      <c r="B58" s="140">
        <f>'1.Reel GSYH '!B54</f>
        <v>0</v>
      </c>
      <c r="D58" s="141">
        <f>'1.Reel GSYH '!D54</f>
        <v>0</v>
      </c>
      <c r="E58" s="143">
        <f>'1.Reel GSYH '!K54</f>
        <v>16820360600</v>
      </c>
      <c r="F58" s="143">
        <f>'1.Reel GSYH '!N54</f>
        <v>0</v>
      </c>
      <c r="G58" s="143">
        <f>'1.Reel GSYH '!Q54</f>
        <v>0</v>
      </c>
      <c r="H58" s="143">
        <f>'1.Reel GSYH '!U54</f>
        <v>0</v>
      </c>
      <c r="I58" s="140">
        <f>'1.Reel GSYH '!Y54</f>
        <v>-1733701750</v>
      </c>
      <c r="J58" s="84"/>
      <c r="K58" s="153"/>
      <c r="L58" s="154"/>
      <c r="M58" s="154"/>
      <c r="N58" s="154"/>
      <c r="O58" s="154"/>
      <c r="P58" s="155"/>
      <c r="R58" s="151"/>
      <c r="T58" s="152"/>
      <c r="U58" s="144" t="e">
        <f t="shared" si="4"/>
        <v>#DIV/0!</v>
      </c>
      <c r="V58" s="144" t="e">
        <f t="shared" si="5"/>
        <v>#DIV/0!</v>
      </c>
      <c r="W58" s="144" t="e">
        <f t="shared" si="6"/>
        <v>#DIV/0!</v>
      </c>
      <c r="X58" s="144" t="e">
        <f t="shared" si="7"/>
        <v>#DIV/0!</v>
      </c>
      <c r="Y58" s="151"/>
    </row>
    <row r="59" spans="1:25" s="89" customFormat="1" ht="15.75" customHeight="1">
      <c r="A59" s="40" t="s">
        <v>46</v>
      </c>
      <c r="B59" s="140">
        <f>'1.Reel GSYH '!B55</f>
        <v>0</v>
      </c>
      <c r="D59" s="141">
        <f>'1.Reel GSYH '!D55</f>
        <v>0</v>
      </c>
      <c r="E59" s="143">
        <f>'1.Reel GSYH '!K55</f>
        <v>17684051010</v>
      </c>
      <c r="F59" s="143">
        <f>'1.Reel GSYH '!N55</f>
        <v>0</v>
      </c>
      <c r="G59" s="143">
        <f>'1.Reel GSYH '!Q55</f>
        <v>0</v>
      </c>
      <c r="H59" s="143">
        <f>'1.Reel GSYH '!U55</f>
        <v>0</v>
      </c>
      <c r="I59" s="140">
        <f>'1.Reel GSYH '!Y55</f>
        <v>-1238043980</v>
      </c>
      <c r="J59" s="84"/>
      <c r="K59" s="153"/>
      <c r="L59" s="154"/>
      <c r="M59" s="154"/>
      <c r="N59" s="154"/>
      <c r="O59" s="154"/>
      <c r="P59" s="155"/>
      <c r="R59" s="151"/>
      <c r="T59" s="152"/>
      <c r="U59" s="144" t="e">
        <f t="shared" si="4"/>
        <v>#DIV/0!</v>
      </c>
      <c r="V59" s="144" t="e">
        <f t="shared" si="5"/>
        <v>#DIV/0!</v>
      </c>
      <c r="W59" s="144" t="e">
        <f t="shared" si="6"/>
        <v>#DIV/0!</v>
      </c>
      <c r="X59" s="144" t="e">
        <f t="shared" si="7"/>
        <v>#DIV/0!</v>
      </c>
      <c r="Y59" s="151"/>
    </row>
    <row r="60" spans="1:25" s="89" customFormat="1" ht="15.75" customHeight="1">
      <c r="A60" s="40" t="s">
        <v>47</v>
      </c>
      <c r="B60" s="140">
        <f>'1.Reel GSYH '!B56</f>
        <v>0</v>
      </c>
      <c r="D60" s="141">
        <f>'1.Reel GSYH '!D56</f>
        <v>0</v>
      </c>
      <c r="E60" s="143">
        <f>'1.Reel GSYH '!K56</f>
        <v>20311013630</v>
      </c>
      <c r="F60" s="143">
        <f>'1.Reel GSYH '!N56</f>
        <v>0</v>
      </c>
      <c r="G60" s="143">
        <f>'1.Reel GSYH '!Q56</f>
        <v>0</v>
      </c>
      <c r="H60" s="143">
        <f>'1.Reel GSYH '!U56</f>
        <v>0</v>
      </c>
      <c r="I60" s="140">
        <f>'1.Reel GSYH '!Y56</f>
        <v>-2458086640</v>
      </c>
      <c r="J60" s="84"/>
      <c r="K60" s="153"/>
      <c r="L60" s="154"/>
      <c r="M60" s="154"/>
      <c r="N60" s="154"/>
      <c r="O60" s="154"/>
      <c r="P60" s="155"/>
      <c r="R60" s="151"/>
      <c r="T60" s="152"/>
      <c r="U60" s="144" t="e">
        <f t="shared" si="4"/>
        <v>#DIV/0!</v>
      </c>
      <c r="V60" s="144" t="e">
        <f t="shared" si="5"/>
        <v>#DIV/0!</v>
      </c>
      <c r="W60" s="144" t="e">
        <f t="shared" si="6"/>
        <v>#DIV/0!</v>
      </c>
      <c r="X60" s="144" t="e">
        <f t="shared" si="7"/>
        <v>#DIV/0!</v>
      </c>
      <c r="Y60" s="151"/>
    </row>
    <row r="61" spans="1:25" s="89" customFormat="1" ht="15.75" customHeight="1">
      <c r="A61" s="40" t="s">
        <v>48</v>
      </c>
      <c r="B61" s="140">
        <f>'1.Reel GSYH '!B57</f>
        <v>0</v>
      </c>
      <c r="D61" s="141">
        <f>'1.Reel GSYH '!D57</f>
        <v>0</v>
      </c>
      <c r="E61" s="143">
        <f>'1.Reel GSYH '!K57</f>
        <v>19495424660</v>
      </c>
      <c r="F61" s="143">
        <f>'1.Reel GSYH '!N57</f>
        <v>0</v>
      </c>
      <c r="G61" s="143">
        <f>'1.Reel GSYH '!Q57</f>
        <v>0</v>
      </c>
      <c r="H61" s="143">
        <f>'1.Reel GSYH '!U57</f>
        <v>0</v>
      </c>
      <c r="I61" s="140">
        <f>'1.Reel GSYH '!Y57</f>
        <v>-3413646710</v>
      </c>
      <c r="J61" s="84"/>
      <c r="K61" s="153"/>
      <c r="L61" s="154"/>
      <c r="M61" s="154"/>
      <c r="N61" s="154"/>
      <c r="O61" s="154"/>
      <c r="P61" s="155"/>
      <c r="R61" s="151"/>
      <c r="T61" s="152"/>
      <c r="U61" s="144" t="e">
        <f t="shared" si="4"/>
        <v>#DIV/0!</v>
      </c>
      <c r="V61" s="144" t="e">
        <f t="shared" si="5"/>
        <v>#DIV/0!</v>
      </c>
      <c r="W61" s="144" t="e">
        <f t="shared" si="6"/>
        <v>#DIV/0!</v>
      </c>
      <c r="X61" s="144" t="e">
        <f t="shared" si="7"/>
        <v>#DIV/0!</v>
      </c>
      <c r="Y61" s="151"/>
    </row>
    <row r="62" spans="1:25" s="89" customFormat="1" ht="15.75" customHeight="1">
      <c r="A62" s="40" t="s">
        <v>49</v>
      </c>
      <c r="B62" s="140">
        <f>'1.Reel GSYH '!B58</f>
        <v>0</v>
      </c>
      <c r="D62" s="141">
        <f>'1.Reel GSYH '!D58</f>
        <v>0</v>
      </c>
      <c r="E62" s="143">
        <f>'1.Reel GSYH '!K58</f>
        <v>19322784870</v>
      </c>
      <c r="F62" s="143">
        <f>'1.Reel GSYH '!N58</f>
        <v>0</v>
      </c>
      <c r="G62" s="143">
        <f>'1.Reel GSYH '!Q58</f>
        <v>0</v>
      </c>
      <c r="H62" s="143">
        <f>'1.Reel GSYH '!U58</f>
        <v>0</v>
      </c>
      <c r="I62" s="140">
        <f>'1.Reel GSYH '!Y58</f>
        <v>-3392058510</v>
      </c>
      <c r="J62" s="84"/>
      <c r="K62" s="153"/>
      <c r="L62" s="154"/>
      <c r="M62" s="154"/>
      <c r="N62" s="154"/>
      <c r="O62" s="154"/>
      <c r="P62" s="155"/>
      <c r="R62" s="151"/>
      <c r="T62" s="152"/>
      <c r="U62" s="144" t="e">
        <f t="shared" si="4"/>
        <v>#DIV/0!</v>
      </c>
      <c r="V62" s="144" t="e">
        <f t="shared" si="5"/>
        <v>#DIV/0!</v>
      </c>
      <c r="W62" s="144" t="e">
        <f t="shared" si="6"/>
        <v>#DIV/0!</v>
      </c>
      <c r="X62" s="144" t="e">
        <f t="shared" si="7"/>
        <v>#DIV/0!</v>
      </c>
      <c r="Y62" s="151"/>
    </row>
    <row r="63" spans="1:25" s="89" customFormat="1" ht="15.75" customHeight="1">
      <c r="A63" s="40" t="s">
        <v>50</v>
      </c>
      <c r="B63" s="140">
        <f>'1.Reel GSYH '!B59</f>
        <v>0</v>
      </c>
      <c r="D63" s="141">
        <f>'1.Reel GSYH '!D59</f>
        <v>0</v>
      </c>
      <c r="E63" s="143">
        <f>'1.Reel GSYH '!K59</f>
        <v>21383318000</v>
      </c>
      <c r="F63" s="143">
        <f>'1.Reel GSYH '!N59</f>
        <v>0</v>
      </c>
      <c r="G63" s="143">
        <f>'1.Reel GSYH '!Q59</f>
        <v>0</v>
      </c>
      <c r="H63" s="143">
        <f>'1.Reel GSYH '!U59</f>
        <v>0</v>
      </c>
      <c r="I63" s="140">
        <f>'1.Reel GSYH '!Y59</f>
        <v>-3871092050</v>
      </c>
      <c r="J63" s="84"/>
      <c r="K63" s="153"/>
      <c r="L63" s="154"/>
      <c r="M63" s="154"/>
      <c r="N63" s="154"/>
      <c r="O63" s="154"/>
      <c r="P63" s="155"/>
      <c r="R63" s="151"/>
      <c r="T63" s="152"/>
      <c r="U63" s="144" t="e">
        <f t="shared" si="4"/>
        <v>#DIV/0!</v>
      </c>
      <c r="V63" s="144" t="e">
        <f t="shared" si="5"/>
        <v>#DIV/0!</v>
      </c>
      <c r="W63" s="144" t="e">
        <f t="shared" si="6"/>
        <v>#DIV/0!</v>
      </c>
      <c r="X63" s="144" t="e">
        <f t="shared" si="7"/>
        <v>#DIV/0!</v>
      </c>
      <c r="Y63" s="151"/>
    </row>
    <row r="64" spans="1:25" s="89" customFormat="1" ht="15.75" customHeight="1">
      <c r="A64" s="40" t="s">
        <v>51</v>
      </c>
      <c r="B64" s="140">
        <f>'1.Reel GSYH '!B60</f>
        <v>0</v>
      </c>
      <c r="D64" s="141">
        <f>'1.Reel GSYH '!D60</f>
        <v>0</v>
      </c>
      <c r="E64" s="143">
        <f>'1.Reel GSYH '!K60</f>
        <v>22696715920</v>
      </c>
      <c r="F64" s="143">
        <f>'1.Reel GSYH '!N60</f>
        <v>0</v>
      </c>
      <c r="G64" s="143">
        <f>'1.Reel GSYH '!Q60</f>
        <v>0</v>
      </c>
      <c r="H64" s="143">
        <f>'1.Reel GSYH '!U60</f>
        <v>0</v>
      </c>
      <c r="I64" s="140">
        <f>'1.Reel GSYH '!Y60</f>
        <v>-5580584070</v>
      </c>
      <c r="J64" s="84"/>
      <c r="K64" s="153"/>
      <c r="L64" s="154"/>
      <c r="M64" s="154"/>
      <c r="N64" s="154"/>
      <c r="O64" s="154"/>
      <c r="P64" s="155"/>
      <c r="R64" s="151"/>
      <c r="T64" s="152"/>
      <c r="U64" s="144" t="e">
        <f t="shared" si="4"/>
        <v>#DIV/0!</v>
      </c>
      <c r="V64" s="144" t="e">
        <f t="shared" si="5"/>
        <v>#DIV/0!</v>
      </c>
      <c r="W64" s="144" t="e">
        <f t="shared" si="6"/>
        <v>#DIV/0!</v>
      </c>
      <c r="X64" s="144" t="e">
        <f t="shared" si="7"/>
        <v>#DIV/0!</v>
      </c>
      <c r="Y64" s="151"/>
    </row>
    <row r="65" spans="1:25" s="89" customFormat="1" ht="15.75" customHeight="1">
      <c r="A65" s="40" t="s">
        <v>52</v>
      </c>
      <c r="B65" s="140">
        <f>'1.Reel GSYH '!B61</f>
        <v>0</v>
      </c>
      <c r="D65" s="141">
        <f>'1.Reel GSYH '!D61</f>
        <v>0</v>
      </c>
      <c r="E65" s="143">
        <f>'1.Reel GSYH '!K61</f>
        <v>23750273350</v>
      </c>
      <c r="F65" s="143">
        <f>'1.Reel GSYH '!N61</f>
        <v>0</v>
      </c>
      <c r="G65" s="143">
        <f>'1.Reel GSYH '!Q61</f>
        <v>0</v>
      </c>
      <c r="H65" s="143">
        <f>'1.Reel GSYH '!U61</f>
        <v>0</v>
      </c>
      <c r="I65" s="140">
        <f>'1.Reel GSYH '!Y61</f>
        <v>-7892552470</v>
      </c>
      <c r="J65" s="84"/>
      <c r="K65" s="153"/>
      <c r="L65" s="154"/>
      <c r="M65" s="154"/>
      <c r="N65" s="154"/>
      <c r="O65" s="154"/>
      <c r="P65" s="155"/>
      <c r="R65" s="151"/>
      <c r="T65" s="152"/>
      <c r="U65" s="144" t="e">
        <f t="shared" si="4"/>
        <v>#DIV/0!</v>
      </c>
      <c r="V65" s="144" t="e">
        <f t="shared" si="5"/>
        <v>#DIV/0!</v>
      </c>
      <c r="W65" s="144" t="e">
        <f t="shared" si="6"/>
        <v>#DIV/0!</v>
      </c>
      <c r="X65" s="144" t="e">
        <f t="shared" si="7"/>
        <v>#DIV/0!</v>
      </c>
      <c r="Y65" s="151"/>
    </row>
    <row r="66" spans="1:25" s="89" customFormat="1" ht="15.75" customHeight="1">
      <c r="A66" s="40" t="s">
        <v>53</v>
      </c>
      <c r="B66" s="140">
        <f>'1.Reel GSYH '!B62</f>
        <v>0</v>
      </c>
      <c r="D66" s="141">
        <f>'1.Reel GSYH '!D62</f>
        <v>0</v>
      </c>
      <c r="E66" s="143">
        <f>'1.Reel GSYH '!K62</f>
        <v>25614635790</v>
      </c>
      <c r="F66" s="143">
        <f>'1.Reel GSYH '!N62</f>
        <v>0</v>
      </c>
      <c r="G66" s="143">
        <f>'1.Reel GSYH '!Q62</f>
        <v>0</v>
      </c>
      <c r="H66" s="143">
        <f>'1.Reel GSYH '!U62</f>
        <v>0</v>
      </c>
      <c r="I66" s="140">
        <f>'1.Reel GSYH '!Y62</f>
        <v>-8968523090</v>
      </c>
      <c r="J66" s="84"/>
      <c r="K66" s="153"/>
      <c r="L66" s="154"/>
      <c r="M66" s="154"/>
      <c r="N66" s="154"/>
      <c r="O66" s="154"/>
      <c r="P66" s="155"/>
      <c r="R66" s="151"/>
      <c r="T66" s="152"/>
      <c r="U66" s="144" t="e">
        <f t="shared" si="4"/>
        <v>#DIV/0!</v>
      </c>
      <c r="V66" s="144" t="e">
        <f t="shared" si="5"/>
        <v>#DIV/0!</v>
      </c>
      <c r="W66" s="144" t="e">
        <f t="shared" si="6"/>
        <v>#DIV/0!</v>
      </c>
      <c r="X66" s="144" t="e">
        <f t="shared" si="7"/>
        <v>#DIV/0!</v>
      </c>
      <c r="Y66" s="151"/>
    </row>
    <row r="67" spans="1:25" s="89" customFormat="1" ht="15.75" customHeight="1">
      <c r="A67" s="40" t="s">
        <v>54</v>
      </c>
      <c r="B67" s="140">
        <f>'1.Reel GSYH '!B63</f>
        <v>0</v>
      </c>
      <c r="D67" s="141">
        <f>'1.Reel GSYH '!D63</f>
        <v>0</v>
      </c>
      <c r="E67" s="143">
        <f>'1.Reel GSYH '!K63</f>
        <v>26453877000</v>
      </c>
      <c r="F67" s="143">
        <f>'1.Reel GSYH '!N63</f>
        <v>0</v>
      </c>
      <c r="G67" s="143">
        <f>'1.Reel GSYH '!Q63</f>
        <v>0</v>
      </c>
      <c r="H67" s="143">
        <f>'1.Reel GSYH '!U63</f>
        <v>0</v>
      </c>
      <c r="I67" s="140">
        <f>'1.Reel GSYH '!Y63</f>
        <v>-8008802580</v>
      </c>
      <c r="J67" s="84"/>
      <c r="K67" s="153"/>
      <c r="L67" s="154"/>
      <c r="M67" s="154"/>
      <c r="N67" s="154"/>
      <c r="O67" s="154"/>
      <c r="P67" s="155"/>
      <c r="R67" s="151"/>
      <c r="T67" s="152"/>
      <c r="U67" s="144" t="e">
        <f t="shared" si="4"/>
        <v>#DIV/0!</v>
      </c>
      <c r="V67" s="144" t="e">
        <f t="shared" si="5"/>
        <v>#DIV/0!</v>
      </c>
      <c r="W67" s="144" t="e">
        <f t="shared" si="6"/>
        <v>#DIV/0!</v>
      </c>
      <c r="X67" s="144" t="e">
        <f t="shared" si="7"/>
        <v>#DIV/0!</v>
      </c>
      <c r="Y67" s="151"/>
    </row>
    <row r="68" spans="1:25" s="89" customFormat="1" ht="15.75" customHeight="1">
      <c r="A68" s="40" t="s">
        <v>55</v>
      </c>
      <c r="B68" s="140">
        <f>'1.Reel GSYH '!B64</f>
        <v>0</v>
      </c>
      <c r="D68" s="141">
        <f>'1.Reel GSYH '!D64</f>
        <v>0</v>
      </c>
      <c r="E68" s="143">
        <f>'1.Reel GSYH '!K64</f>
        <v>26893783110</v>
      </c>
      <c r="F68" s="143">
        <f>'1.Reel GSYH '!N64</f>
        <v>0</v>
      </c>
      <c r="G68" s="143">
        <f>'1.Reel GSYH '!Q64</f>
        <v>0</v>
      </c>
      <c r="H68" s="143">
        <f>'1.Reel GSYH '!U64</f>
        <v>0</v>
      </c>
      <c r="I68" s="140">
        <f>'1.Reel GSYH '!Y64</f>
        <v>-6747168680</v>
      </c>
      <c r="J68" s="84"/>
      <c r="K68" s="153"/>
      <c r="L68" s="154"/>
      <c r="M68" s="154"/>
      <c r="N68" s="154"/>
      <c r="O68" s="154"/>
      <c r="P68" s="155"/>
      <c r="R68" s="151"/>
      <c r="T68" s="152"/>
      <c r="U68" s="144" t="e">
        <f t="shared" si="4"/>
        <v>#DIV/0!</v>
      </c>
      <c r="V68" s="144" t="e">
        <f t="shared" si="5"/>
        <v>#DIV/0!</v>
      </c>
      <c r="W68" s="144" t="e">
        <f t="shared" si="6"/>
        <v>#DIV/0!</v>
      </c>
      <c r="X68" s="144" t="e">
        <f t="shared" si="7"/>
        <v>#DIV/0!</v>
      </c>
      <c r="Y68" s="151"/>
    </row>
    <row r="69" spans="1:25" s="89" customFormat="1" ht="15.75" customHeight="1">
      <c r="A69" s="40" t="s">
        <v>56</v>
      </c>
      <c r="B69" s="140">
        <f>'1.Reel GSYH '!B65</f>
        <v>0</v>
      </c>
      <c r="D69" s="141">
        <f>'1.Reel GSYH '!D65</f>
        <v>0</v>
      </c>
      <c r="E69" s="143">
        <f>'1.Reel GSYH '!K65</f>
        <v>28752362280</v>
      </c>
      <c r="F69" s="143">
        <f>'1.Reel GSYH '!N65</f>
        <v>0</v>
      </c>
      <c r="G69" s="143">
        <f>'1.Reel GSYH '!Q65</f>
        <v>0</v>
      </c>
      <c r="H69" s="143">
        <f>'1.Reel GSYH '!U65</f>
        <v>0</v>
      </c>
      <c r="I69" s="140">
        <f>'1.Reel GSYH '!Y65</f>
        <v>-8450487690</v>
      </c>
      <c r="J69" s="84"/>
      <c r="K69" s="153"/>
      <c r="L69" s="154"/>
      <c r="M69" s="154"/>
      <c r="N69" s="154"/>
      <c r="O69" s="154"/>
      <c r="P69" s="155"/>
      <c r="R69" s="151"/>
      <c r="T69" s="152"/>
      <c r="U69" s="144" t="e">
        <f t="shared" si="4"/>
        <v>#DIV/0!</v>
      </c>
      <c r="V69" s="144" t="e">
        <f t="shared" si="5"/>
        <v>#DIV/0!</v>
      </c>
      <c r="W69" s="144" t="e">
        <f t="shared" si="6"/>
        <v>#DIV/0!</v>
      </c>
      <c r="X69" s="144" t="e">
        <f t="shared" si="7"/>
        <v>#DIV/0!</v>
      </c>
      <c r="Y69" s="151"/>
    </row>
    <row r="70" spans="1:25" s="89" customFormat="1" ht="15.75" customHeight="1">
      <c r="A70" s="40" t="s">
        <v>57</v>
      </c>
      <c r="B70" s="140">
        <f>'1.Reel GSYH '!B66</f>
        <v>0</v>
      </c>
      <c r="D70" s="141">
        <f>'1.Reel GSYH '!D66</f>
        <v>0</v>
      </c>
      <c r="E70" s="143">
        <f>'1.Reel GSYH '!K66</f>
        <v>30778974180</v>
      </c>
      <c r="F70" s="143">
        <f>'1.Reel GSYH '!N66</f>
        <v>0</v>
      </c>
      <c r="G70" s="143">
        <f>'1.Reel GSYH '!Q66</f>
        <v>0</v>
      </c>
      <c r="H70" s="143">
        <f>'1.Reel GSYH '!U66</f>
        <v>0</v>
      </c>
      <c r="I70" s="140">
        <f>'1.Reel GSYH '!Y66</f>
        <v>-7168852270</v>
      </c>
      <c r="J70" s="84"/>
      <c r="K70" s="153"/>
      <c r="L70" s="154"/>
      <c r="M70" s="154"/>
      <c r="N70" s="154"/>
      <c r="O70" s="154"/>
      <c r="P70" s="155"/>
      <c r="R70" s="151"/>
      <c r="T70" s="152"/>
      <c r="U70" s="144" t="e">
        <f t="shared" si="4"/>
        <v>#DIV/0!</v>
      </c>
      <c r="V70" s="144" t="e">
        <f t="shared" si="5"/>
        <v>#DIV/0!</v>
      </c>
      <c r="W70" s="144" t="e">
        <f t="shared" si="6"/>
        <v>#DIV/0!</v>
      </c>
      <c r="X70" s="144" t="e">
        <f t="shared" si="7"/>
        <v>#DIV/0!</v>
      </c>
      <c r="Y70" s="151"/>
    </row>
    <row r="71" spans="1:25" s="89" customFormat="1" ht="15.75" customHeight="1">
      <c r="A71" s="40" t="s">
        <v>58</v>
      </c>
      <c r="B71" s="140">
        <f>'1.Reel GSYH '!B67</f>
        <v>0</v>
      </c>
      <c r="D71" s="141">
        <f>'1.Reel GSYH '!D67</f>
        <v>0</v>
      </c>
      <c r="E71" s="143">
        <f>'1.Reel GSYH '!K67</f>
        <v>29663574050</v>
      </c>
      <c r="F71" s="143">
        <f>'1.Reel GSYH '!N67</f>
        <v>0</v>
      </c>
      <c r="G71" s="143">
        <f>'1.Reel GSYH '!Q67</f>
        <v>0</v>
      </c>
      <c r="H71" s="143">
        <f>'1.Reel GSYH '!U67</f>
        <v>0</v>
      </c>
      <c r="I71" s="140">
        <f>'1.Reel GSYH '!Y67</f>
        <v>-9722104750</v>
      </c>
      <c r="J71" s="84"/>
      <c r="K71" s="153"/>
      <c r="L71" s="154"/>
      <c r="M71" s="154"/>
      <c r="N71" s="154"/>
      <c r="O71" s="154"/>
      <c r="P71" s="155"/>
      <c r="R71" s="151"/>
      <c r="T71" s="152"/>
      <c r="U71" s="144" t="e">
        <f t="shared" si="4"/>
        <v>#DIV/0!</v>
      </c>
      <c r="V71" s="144" t="e">
        <f t="shared" si="5"/>
        <v>#DIV/0!</v>
      </c>
      <c r="W71" s="144" t="e">
        <f t="shared" si="6"/>
        <v>#DIV/0!</v>
      </c>
      <c r="X71" s="144" t="e">
        <f t="shared" si="7"/>
        <v>#DIV/0!</v>
      </c>
      <c r="Y71" s="151"/>
    </row>
    <row r="72" spans="1:25" s="89" customFormat="1" ht="15.75" customHeight="1">
      <c r="A72" s="40" t="s">
        <v>59</v>
      </c>
      <c r="B72" s="140">
        <f>'1.Reel GSYH '!B68</f>
        <v>0</v>
      </c>
      <c r="D72" s="141">
        <f>'1.Reel GSYH '!D68</f>
        <v>0</v>
      </c>
      <c r="E72" s="143">
        <f>'1.Reel GSYH '!K68</f>
        <v>29667301770</v>
      </c>
      <c r="F72" s="143">
        <f>'1.Reel GSYH '!N68</f>
        <v>0</v>
      </c>
      <c r="G72" s="143">
        <f>'1.Reel GSYH '!Q68</f>
        <v>0</v>
      </c>
      <c r="H72" s="143">
        <f>'1.Reel GSYH '!U68</f>
        <v>0</v>
      </c>
      <c r="I72" s="140">
        <f>'1.Reel GSYH '!Y68</f>
        <v>-10804203210</v>
      </c>
      <c r="J72" s="84"/>
      <c r="K72" s="153"/>
      <c r="L72" s="154"/>
      <c r="M72" s="154"/>
      <c r="N72" s="154"/>
      <c r="O72" s="154"/>
      <c r="P72" s="155"/>
      <c r="R72" s="151"/>
      <c r="T72" s="152"/>
      <c r="U72" s="144" t="e">
        <f t="shared" si="4"/>
        <v>#DIV/0!</v>
      </c>
      <c r="V72" s="144" t="e">
        <f t="shared" si="5"/>
        <v>#DIV/0!</v>
      </c>
      <c r="W72" s="144" t="e">
        <f t="shared" si="6"/>
        <v>#DIV/0!</v>
      </c>
      <c r="X72" s="144" t="e">
        <f t="shared" si="7"/>
        <v>#DIV/0!</v>
      </c>
      <c r="Y72" s="151"/>
    </row>
    <row r="73" spans="1:25" s="89" customFormat="1" ht="15.75" customHeight="1">
      <c r="A73" s="40" t="s">
        <v>60</v>
      </c>
      <c r="B73" s="140">
        <f>'1.Reel GSYH '!B69</f>
        <v>0</v>
      </c>
      <c r="D73" s="141">
        <f>'1.Reel GSYH '!D69</f>
        <v>0</v>
      </c>
      <c r="E73" s="143">
        <f>'1.Reel GSYH '!K69</f>
        <v>33054386320</v>
      </c>
      <c r="F73" s="143">
        <f>'1.Reel GSYH '!N69</f>
        <v>0</v>
      </c>
      <c r="G73" s="143">
        <f>'1.Reel GSYH '!Q69</f>
        <v>0</v>
      </c>
      <c r="H73" s="143">
        <f>'1.Reel GSYH '!U69</f>
        <v>0</v>
      </c>
      <c r="I73" s="140">
        <f>'1.Reel GSYH '!Y69</f>
        <v>-9857122840</v>
      </c>
      <c r="J73" s="84"/>
      <c r="K73" s="153"/>
      <c r="L73" s="154"/>
      <c r="M73" s="154"/>
      <c r="N73" s="154"/>
      <c r="O73" s="154"/>
      <c r="P73" s="155"/>
      <c r="R73" s="151"/>
      <c r="T73" s="152"/>
      <c r="U73" s="144" t="e">
        <f t="shared" si="4"/>
        <v>#DIV/0!</v>
      </c>
      <c r="V73" s="144" t="e">
        <f t="shared" si="5"/>
        <v>#DIV/0!</v>
      </c>
      <c r="W73" s="144" t="e">
        <f t="shared" si="6"/>
        <v>#DIV/0!</v>
      </c>
      <c r="X73" s="144" t="e">
        <f t="shared" si="7"/>
        <v>#DIV/0!</v>
      </c>
      <c r="Y73" s="151"/>
    </row>
    <row r="74" spans="1:25" s="89" customFormat="1" ht="15.75" customHeight="1">
      <c r="A74" s="40" t="s">
        <v>61</v>
      </c>
      <c r="B74" s="140">
        <f>'1.Reel GSYH '!B70</f>
        <v>0</v>
      </c>
      <c r="D74" s="141">
        <f>'1.Reel GSYH '!D70</f>
        <v>0</v>
      </c>
      <c r="E74" s="143">
        <f>'1.Reel GSYH '!K70</f>
        <v>33329910839.999996</v>
      </c>
      <c r="F74" s="143">
        <f>'1.Reel GSYH '!N70</f>
        <v>0</v>
      </c>
      <c r="G74" s="143">
        <f>'1.Reel GSYH '!Q70</f>
        <v>0</v>
      </c>
      <c r="H74" s="143">
        <f>'1.Reel GSYH '!U70</f>
        <v>0</v>
      </c>
      <c r="I74" s="140">
        <f>'1.Reel GSYH '!Y70</f>
        <v>-11246371790</v>
      </c>
      <c r="J74" s="84"/>
      <c r="K74" s="153"/>
      <c r="L74" s="154"/>
      <c r="M74" s="154"/>
      <c r="N74" s="154"/>
      <c r="O74" s="154"/>
      <c r="P74" s="155"/>
      <c r="R74" s="151"/>
      <c r="T74" s="152"/>
      <c r="U74" s="144" t="e">
        <f t="shared" si="4"/>
        <v>#DIV/0!</v>
      </c>
      <c r="V74" s="144" t="e">
        <f t="shared" si="5"/>
        <v>#DIV/0!</v>
      </c>
      <c r="W74" s="144" t="e">
        <f t="shared" si="6"/>
        <v>#DIV/0!</v>
      </c>
      <c r="X74" s="144" t="e">
        <f t="shared" si="7"/>
        <v>#DIV/0!</v>
      </c>
      <c r="Y74" s="151"/>
    </row>
    <row r="75" spans="1:25" s="89" customFormat="1" ht="15.75" customHeight="1">
      <c r="A75" s="40" t="s">
        <v>62</v>
      </c>
      <c r="B75" s="140">
        <f>'1.Reel GSYH '!B71</f>
        <v>0</v>
      </c>
      <c r="D75" s="141">
        <f>'1.Reel GSYH '!D71</f>
        <v>0</v>
      </c>
      <c r="E75" s="143">
        <f>'1.Reel GSYH '!K71</f>
        <v>35421877580</v>
      </c>
      <c r="F75" s="143">
        <f>'1.Reel GSYH '!N71</f>
        <v>0</v>
      </c>
      <c r="G75" s="143">
        <f>'1.Reel GSYH '!Q71</f>
        <v>0</v>
      </c>
      <c r="H75" s="143">
        <f>'1.Reel GSYH '!U71</f>
        <v>0</v>
      </c>
      <c r="I75" s="140">
        <f>'1.Reel GSYH '!Y71</f>
        <v>-10524677140</v>
      </c>
      <c r="J75" s="84"/>
      <c r="K75" s="153"/>
      <c r="L75" s="154"/>
      <c r="M75" s="154"/>
      <c r="N75" s="154"/>
      <c r="O75" s="154"/>
      <c r="P75" s="155"/>
      <c r="R75" s="151"/>
      <c r="T75" s="152"/>
      <c r="U75" s="144" t="e">
        <f t="shared" si="4"/>
        <v>#DIV/0!</v>
      </c>
      <c r="V75" s="144" t="e">
        <f t="shared" si="5"/>
        <v>#DIV/0!</v>
      </c>
      <c r="W75" s="144" t="e">
        <f t="shared" si="6"/>
        <v>#DIV/0!</v>
      </c>
      <c r="X75" s="144" t="e">
        <f t="shared" si="7"/>
        <v>#DIV/0!</v>
      </c>
      <c r="Y75" s="151"/>
    </row>
    <row r="76" spans="1:25" s="89" customFormat="1" ht="15.75" customHeight="1">
      <c r="A76" s="40" t="s">
        <v>63</v>
      </c>
      <c r="B76" s="140">
        <f>'1.Reel GSYH '!B72</f>
        <v>0</v>
      </c>
      <c r="D76" s="141">
        <f>'1.Reel GSYH '!D72</f>
        <v>0</v>
      </c>
      <c r="E76" s="143">
        <f>'1.Reel GSYH '!K72</f>
        <v>34531531990</v>
      </c>
      <c r="F76" s="143">
        <f>'1.Reel GSYH '!N72</f>
        <v>0</v>
      </c>
      <c r="G76" s="143">
        <f>'1.Reel GSYH '!Q72</f>
        <v>0</v>
      </c>
      <c r="H76" s="143">
        <f>'1.Reel GSYH '!U72</f>
        <v>0</v>
      </c>
      <c r="I76" s="140">
        <f>'1.Reel GSYH '!Y72</f>
        <v>-2622701490</v>
      </c>
      <c r="J76" s="84"/>
      <c r="K76" s="153"/>
      <c r="L76" s="154"/>
      <c r="M76" s="154"/>
      <c r="N76" s="154"/>
      <c r="O76" s="154"/>
      <c r="P76" s="155"/>
      <c r="R76" s="151"/>
      <c r="T76" s="152"/>
      <c r="U76" s="144" t="e">
        <f t="shared" si="4"/>
        <v>#DIV/0!</v>
      </c>
      <c r="V76" s="144" t="e">
        <f t="shared" si="5"/>
        <v>#DIV/0!</v>
      </c>
      <c r="W76" s="144" t="e">
        <f t="shared" si="6"/>
        <v>#DIV/0!</v>
      </c>
      <c r="X76" s="144" t="e">
        <f t="shared" si="7"/>
        <v>#DIV/0!</v>
      </c>
      <c r="Y76" s="151"/>
    </row>
    <row r="77" spans="1:25" s="89" customFormat="1" ht="15.75" customHeight="1">
      <c r="A77" s="40" t="s">
        <v>64</v>
      </c>
      <c r="B77" s="140">
        <f>'1.Reel GSYH '!B73</f>
        <v>41711554525.699997</v>
      </c>
      <c r="D77" s="141">
        <f>'1.Reel GSYH '!D73</f>
        <v>273435.7</v>
      </c>
      <c r="E77" s="143">
        <f>'1.Reel GSYH '!K73</f>
        <v>37205453390</v>
      </c>
      <c r="F77" s="143">
        <f>'1.Reel GSYH '!N73</f>
        <v>0</v>
      </c>
      <c r="G77" s="143">
        <f>'1.Reel GSYH '!Q73</f>
        <v>0</v>
      </c>
      <c r="H77" s="143">
        <f>'1.Reel GSYH '!U73</f>
        <v>0</v>
      </c>
      <c r="I77" s="140">
        <f>'1.Reel GSYH '!Y73</f>
        <v>4505827700</v>
      </c>
      <c r="J77" s="84"/>
      <c r="K77" s="153">
        <f>(D81/D77-1)*100</f>
        <v>9.7383041058647137</v>
      </c>
      <c r="L77" s="153"/>
      <c r="M77" s="153"/>
      <c r="N77" s="153"/>
      <c r="O77" s="153"/>
      <c r="P77" s="153">
        <f>(I81/I77-1)*100</f>
        <v>-268.77083582223992</v>
      </c>
      <c r="R77" s="151">
        <f>R81</f>
        <v>-39.337968236926898</v>
      </c>
      <c r="T77" s="152">
        <f t="shared" ref="T77:T93" si="8">((D81-D77)/($B77))*100</f>
        <v>6.3838426313249643E-5</v>
      </c>
      <c r="U77" s="144" t="e">
        <f t="shared" si="4"/>
        <v>#DIV/0!</v>
      </c>
      <c r="V77" s="144" t="e">
        <f t="shared" si="5"/>
        <v>#DIV/0!</v>
      </c>
      <c r="W77" s="144" t="e">
        <f t="shared" si="6"/>
        <v>#DIV/0!</v>
      </c>
      <c r="X77" s="144" t="e">
        <f t="shared" si="7"/>
        <v>#DIV/0!</v>
      </c>
      <c r="Y77" s="151"/>
    </row>
    <row r="78" spans="1:25" s="89" customFormat="1" ht="15.75" customHeight="1">
      <c r="A78" s="40" t="s">
        <v>65</v>
      </c>
      <c r="B78" s="140">
        <f>'1.Reel GSYH '!B74</f>
        <v>37452284259.900002</v>
      </c>
      <c r="D78" s="141">
        <f>'1.Reel GSYH '!D74</f>
        <v>303049.90000000002</v>
      </c>
      <c r="E78" s="143">
        <f>'1.Reel GSYH '!K74</f>
        <v>38245187990</v>
      </c>
      <c r="F78" s="143">
        <f>'1.Reel GSYH '!N74</f>
        <v>0</v>
      </c>
      <c r="G78" s="143">
        <f>'1.Reel GSYH '!Q74</f>
        <v>0</v>
      </c>
      <c r="H78" s="143">
        <f>'1.Reel GSYH '!U74</f>
        <v>0</v>
      </c>
      <c r="I78" s="140">
        <f>'1.Reel GSYH '!Y74</f>
        <v>-793206780</v>
      </c>
      <c r="J78" s="84"/>
      <c r="K78" s="153">
        <f t="shared" ref="K78:K107" si="9">(D82/D78-1)*100</f>
        <v>11.734305142486434</v>
      </c>
      <c r="L78" s="153"/>
      <c r="M78" s="153"/>
      <c r="N78" s="153"/>
      <c r="O78" s="153"/>
      <c r="P78" s="153">
        <f t="shared" ref="P78:P107" si="10">(I82/I78-1)*100</f>
        <v>1010.5916782506574</v>
      </c>
      <c r="R78" s="151">
        <f t="shared" ref="R78:R107" si="11">(B82/B78-1)*100</f>
        <v>-9.7033246463181335</v>
      </c>
      <c r="T78" s="152">
        <f t="shared" si="8"/>
        <v>9.4949615765025004E-5</v>
      </c>
      <c r="U78" s="144" t="e">
        <f t="shared" si="4"/>
        <v>#DIV/0!</v>
      </c>
      <c r="V78" s="144" t="e">
        <f t="shared" si="5"/>
        <v>#DIV/0!</v>
      </c>
      <c r="W78" s="144" t="e">
        <f t="shared" si="6"/>
        <v>#DIV/0!</v>
      </c>
      <c r="X78" s="144" t="e">
        <f t="shared" si="7"/>
        <v>#DIV/0!</v>
      </c>
      <c r="Y78" s="151"/>
    </row>
    <row r="79" spans="1:25" s="89" customFormat="1" ht="15.75" customHeight="1">
      <c r="A79" s="40" t="s">
        <v>66</v>
      </c>
      <c r="B79" s="140">
        <f>'1.Reel GSYH '!B75</f>
        <v>38455469255.800003</v>
      </c>
      <c r="D79" s="141">
        <f>'1.Reel GSYH '!D75</f>
        <v>340495.8</v>
      </c>
      <c r="E79" s="143">
        <f>'1.Reel GSYH '!K75</f>
        <v>39645740940</v>
      </c>
      <c r="F79" s="143">
        <f>'1.Reel GSYH '!N75</f>
        <v>0</v>
      </c>
      <c r="G79" s="143">
        <f>'1.Reel GSYH '!Q75</f>
        <v>0</v>
      </c>
      <c r="H79" s="143">
        <f>'1.Reel GSYH '!U75</f>
        <v>0</v>
      </c>
      <c r="I79" s="140">
        <f>'1.Reel GSYH '!Y75</f>
        <v>-1190612180</v>
      </c>
      <c r="J79" s="84"/>
      <c r="K79" s="153">
        <f t="shared" si="9"/>
        <v>15.764159205487992</v>
      </c>
      <c r="L79" s="153"/>
      <c r="M79" s="153"/>
      <c r="N79" s="153"/>
      <c r="O79" s="153"/>
      <c r="P79" s="153">
        <f t="shared" si="10"/>
        <v>1166.195953916749</v>
      </c>
      <c r="R79" s="151">
        <f t="shared" si="11"/>
        <v>-23.686253763048803</v>
      </c>
      <c r="T79" s="152">
        <f t="shared" si="8"/>
        <v>1.3958040569718005E-4</v>
      </c>
      <c r="U79" s="144" t="e">
        <f t="shared" si="4"/>
        <v>#DIV/0!</v>
      </c>
      <c r="V79" s="144" t="e">
        <f t="shared" si="5"/>
        <v>#DIV/0!</v>
      </c>
      <c r="W79" s="144" t="e">
        <f t="shared" si="6"/>
        <v>#DIV/0!</v>
      </c>
      <c r="X79" s="144" t="e">
        <f t="shared" si="7"/>
        <v>#DIV/0!</v>
      </c>
      <c r="Y79" s="151"/>
    </row>
    <row r="80" spans="1:25" s="89" customFormat="1" ht="15.75" customHeight="1">
      <c r="A80" s="40" t="s">
        <v>67</v>
      </c>
      <c r="B80" s="140">
        <f>'1.Reel GSYH '!B76</f>
        <v>39488665277.900002</v>
      </c>
      <c r="D80" s="141">
        <f>'1.Reel GSYH '!D76</f>
        <v>328447.90000000002</v>
      </c>
      <c r="E80" s="143">
        <f>'1.Reel GSYH '!K76</f>
        <v>42480006080</v>
      </c>
      <c r="F80" s="143">
        <f>'1.Reel GSYH '!N76</f>
        <v>0</v>
      </c>
      <c r="G80" s="143">
        <f>'1.Reel GSYH '!Q76</f>
        <v>0</v>
      </c>
      <c r="H80" s="143">
        <f>'1.Reel GSYH '!U76</f>
        <v>0</v>
      </c>
      <c r="I80" s="140">
        <f>'1.Reel GSYH '!Y76</f>
        <v>-2991669250</v>
      </c>
      <c r="J80" s="84"/>
      <c r="K80" s="153">
        <f t="shared" si="9"/>
        <v>14.185781062993531</v>
      </c>
      <c r="L80" s="153"/>
      <c r="M80" s="153"/>
      <c r="N80" s="153"/>
      <c r="O80" s="153"/>
      <c r="P80" s="153">
        <f t="shared" si="10"/>
        <v>528.16625099850194</v>
      </c>
      <c r="R80" s="151">
        <f t="shared" si="11"/>
        <v>-33.039517201412558</v>
      </c>
      <c r="T80" s="152">
        <f t="shared" si="8"/>
        <v>1.179905668426729E-4</v>
      </c>
      <c r="U80" s="144" t="e">
        <f t="shared" si="4"/>
        <v>#DIV/0!</v>
      </c>
      <c r="V80" s="144" t="e">
        <f t="shared" si="5"/>
        <v>#DIV/0!</v>
      </c>
      <c r="W80" s="144" t="e">
        <f t="shared" si="6"/>
        <v>#DIV/0!</v>
      </c>
      <c r="X80" s="144" t="e">
        <f t="shared" si="7"/>
        <v>#DIV/0!</v>
      </c>
      <c r="Y80" s="151"/>
    </row>
    <row r="81" spans="1:25" s="89" customFormat="1" ht="15.75" customHeight="1">
      <c r="A81" s="40" t="s">
        <v>68</v>
      </c>
      <c r="B81" s="140">
        <f>'1.Reel GSYH '!B77</f>
        <v>33797607933.699989</v>
      </c>
      <c r="D81" s="141">
        <f>'1.Reel GSYH '!D77</f>
        <v>300063.69999999995</v>
      </c>
      <c r="E81" s="143">
        <f>'1.Reel GSYH '!K77</f>
        <v>41401830940</v>
      </c>
      <c r="F81" s="143">
        <f>'1.Reel GSYH '!N77</f>
        <v>0</v>
      </c>
      <c r="G81" s="143">
        <f>'1.Reel GSYH '!Q77</f>
        <v>0</v>
      </c>
      <c r="H81" s="143">
        <f>'1.Reel GSYH '!U77</f>
        <v>0</v>
      </c>
      <c r="I81" s="140">
        <f>'1.Reel GSYH '!Y77</f>
        <v>-7604523070.0000076</v>
      </c>
      <c r="J81" s="84"/>
      <c r="K81" s="153">
        <f t="shared" si="9"/>
        <v>19.861182808850273</v>
      </c>
      <c r="L81" s="153"/>
      <c r="M81" s="153"/>
      <c r="N81" s="153"/>
      <c r="O81" s="153"/>
      <c r="P81" s="153">
        <f t="shared" si="10"/>
        <v>236.28397342740882</v>
      </c>
      <c r="R81" s="151">
        <f t="shared" si="11"/>
        <v>-39.337968236926898</v>
      </c>
      <c r="T81" s="152">
        <f t="shared" si="8"/>
        <v>1.7633259761137119E-4</v>
      </c>
      <c r="U81" s="144">
        <f t="shared" si="4"/>
        <v>10.060467891251717</v>
      </c>
      <c r="V81" s="144">
        <f t="shared" si="5"/>
        <v>0</v>
      </c>
      <c r="W81" s="144">
        <f t="shared" si="6"/>
        <v>0</v>
      </c>
      <c r="X81" s="144">
        <f t="shared" si="7"/>
        <v>0</v>
      </c>
      <c r="Y81" s="151">
        <f>((I85-I81)/($B81))*100</f>
        <v>-53.164322472903834</v>
      </c>
    </row>
    <row r="82" spans="1:25" s="89" customFormat="1" ht="15.75" customHeight="1">
      <c r="A82" s="40" t="s">
        <v>69</v>
      </c>
      <c r="B82" s="140">
        <f>'1.Reel GSYH '!B78</f>
        <v>33818167530.699997</v>
      </c>
      <c r="D82" s="141">
        <f>'1.Reel GSYH '!D78</f>
        <v>338610.7</v>
      </c>
      <c r="E82" s="143">
        <f>'1.Reel GSYH '!K78</f>
        <v>42627117410</v>
      </c>
      <c r="F82" s="143">
        <f>'1.Reel GSYH '!N78</f>
        <v>0</v>
      </c>
      <c r="G82" s="143">
        <f>'1.Reel GSYH '!Q78</f>
        <v>0</v>
      </c>
      <c r="H82" s="143">
        <f>'1.Reel GSYH '!U78</f>
        <v>0</v>
      </c>
      <c r="I82" s="140">
        <f>'1.Reel GSYH '!Y78</f>
        <v>-8809288490</v>
      </c>
      <c r="J82" s="84"/>
      <c r="K82" s="153">
        <f t="shared" si="9"/>
        <v>18.117531430636991</v>
      </c>
      <c r="L82" s="153"/>
      <c r="M82" s="153"/>
      <c r="N82" s="153"/>
      <c r="O82" s="153"/>
      <c r="P82" s="153">
        <f t="shared" si="10"/>
        <v>214.27436042567382</v>
      </c>
      <c r="R82" s="151">
        <f t="shared" si="11"/>
        <v>-42.962652334460358</v>
      </c>
      <c r="T82" s="152">
        <f t="shared" si="8"/>
        <v>1.8140515728508525E-4</v>
      </c>
      <c r="U82" s="144">
        <f t="shared" ref="U82:U107" si="12">((E82-E78)/($B78))*100</f>
        <v>11.700032472229505</v>
      </c>
      <c r="V82" s="144">
        <f t="shared" ref="V82:V107" si="13">((F82-F78)/($B78))*100</f>
        <v>0</v>
      </c>
      <c r="W82" s="144">
        <f t="shared" ref="W82:W107" si="14">((G82-G78)/($B78))*100</f>
        <v>0</v>
      </c>
      <c r="X82" s="144">
        <f t="shared" ref="X82:X107" si="15">((H82-H78)/($B78))*100</f>
        <v>0</v>
      </c>
      <c r="Y82" s="151">
        <f t="shared" ref="Y82:Y107" si="16">((I86-I82)/($B82))*100</f>
        <v>-55.816290320474636</v>
      </c>
    </row>
    <row r="83" spans="1:25" s="89" customFormat="1" ht="15.75" customHeight="1">
      <c r="A83" s="40" t="s">
        <v>70</v>
      </c>
      <c r="B83" s="140">
        <f>'1.Reel GSYH '!B79</f>
        <v>29346809222.099998</v>
      </c>
      <c r="D83" s="141">
        <f>'1.Reel GSYH '!D79</f>
        <v>394172.1</v>
      </c>
      <c r="E83" s="143">
        <f>'1.Reel GSYH '!K79</f>
        <v>44421898300</v>
      </c>
      <c r="F83" s="143">
        <f>'1.Reel GSYH '!N79</f>
        <v>0</v>
      </c>
      <c r="G83" s="143">
        <f>'1.Reel GSYH '!Q79</f>
        <v>0</v>
      </c>
      <c r="H83" s="143">
        <f>'1.Reel GSYH '!U79</f>
        <v>0</v>
      </c>
      <c r="I83" s="140">
        <f>'1.Reel GSYH '!Y79</f>
        <v>-15075483250</v>
      </c>
      <c r="J83" s="84"/>
      <c r="K83" s="153">
        <f t="shared" si="9"/>
        <v>13.492558199832017</v>
      </c>
      <c r="L83" s="153"/>
      <c r="M83" s="153"/>
      <c r="N83" s="153"/>
      <c r="O83" s="153"/>
      <c r="P83" s="153">
        <f t="shared" si="10"/>
        <v>73.604890377228855</v>
      </c>
      <c r="R83" s="151">
        <f t="shared" si="11"/>
        <v>-29.038008430853868</v>
      </c>
      <c r="T83" s="152">
        <f t="shared" si="8"/>
        <v>1.8122549404774537E-4</v>
      </c>
      <c r="U83" s="144">
        <f t="shared" si="12"/>
        <v>12.41996899902513</v>
      </c>
      <c r="V83" s="144">
        <f t="shared" si="13"/>
        <v>0</v>
      </c>
      <c r="W83" s="144">
        <f t="shared" si="14"/>
        <v>0</v>
      </c>
      <c r="X83" s="144">
        <f t="shared" si="15"/>
        <v>0</v>
      </c>
      <c r="Y83" s="151">
        <f t="shared" si="16"/>
        <v>-37.810900790004084</v>
      </c>
    </row>
    <row r="84" spans="1:25" s="89" customFormat="1" ht="15.75" customHeight="1">
      <c r="A84" s="40" t="s">
        <v>71</v>
      </c>
      <c r="B84" s="140">
        <f>'1.Reel GSYH '!B80</f>
        <v>26441800920.800003</v>
      </c>
      <c r="D84" s="141">
        <f>'1.Reel GSYH '!D80</f>
        <v>375040.8</v>
      </c>
      <c r="E84" s="143">
        <f>'1.Reel GSYH '!K80</f>
        <v>45234082450</v>
      </c>
      <c r="F84" s="143">
        <f>'1.Reel GSYH '!N80</f>
        <v>0</v>
      </c>
      <c r="G84" s="143">
        <f>'1.Reel GSYH '!Q80</f>
        <v>0</v>
      </c>
      <c r="H84" s="143">
        <f>'1.Reel GSYH '!U80</f>
        <v>0</v>
      </c>
      <c r="I84" s="140">
        <f>'1.Reel GSYH '!Y80</f>
        <v>-18792656570</v>
      </c>
      <c r="J84" s="84"/>
      <c r="K84" s="153">
        <f t="shared" si="9"/>
        <v>15.004287533516347</v>
      </c>
      <c r="L84" s="153"/>
      <c r="M84" s="153"/>
      <c r="N84" s="153"/>
      <c r="O84" s="153"/>
      <c r="P84" s="153">
        <f t="shared" si="10"/>
        <v>24.332940917463919</v>
      </c>
      <c r="R84" s="151">
        <f t="shared" si="11"/>
        <v>4.6261410705870532</v>
      </c>
      <c r="T84" s="152">
        <f t="shared" si="8"/>
        <v>2.12815307733954E-4</v>
      </c>
      <c r="U84" s="144">
        <f t="shared" si="12"/>
        <v>6.9743465640539899</v>
      </c>
      <c r="V84" s="144">
        <f t="shared" si="13"/>
        <v>0</v>
      </c>
      <c r="W84" s="144">
        <f t="shared" si="14"/>
        <v>0</v>
      </c>
      <c r="X84" s="144">
        <f t="shared" si="15"/>
        <v>0</v>
      </c>
      <c r="Y84" s="151">
        <f t="shared" si="16"/>
        <v>-17.293852388105979</v>
      </c>
    </row>
    <row r="85" spans="1:25" s="89" customFormat="1" ht="15.75" customHeight="1">
      <c r="A85" s="40" t="s">
        <v>72</v>
      </c>
      <c r="B85" s="140">
        <f>'1.Reel GSYH '!B81</f>
        <v>20502315659.900002</v>
      </c>
      <c r="D85" s="141">
        <f>'1.Reel GSYH '!D81</f>
        <v>359659.9</v>
      </c>
      <c r="E85" s="143">
        <f>'1.Reel GSYH '!K81</f>
        <v>46074748340</v>
      </c>
      <c r="F85" s="143">
        <f>'1.Reel GSYH '!N81</f>
        <v>0</v>
      </c>
      <c r="G85" s="143">
        <f>'1.Reel GSYH '!Q81</f>
        <v>0</v>
      </c>
      <c r="H85" s="143">
        <f>'1.Reel GSYH '!U81</f>
        <v>0</v>
      </c>
      <c r="I85" s="140">
        <f>'1.Reel GSYH '!Y81</f>
        <v>-25572792340</v>
      </c>
      <c r="J85" s="84"/>
      <c r="K85" s="153">
        <f t="shared" si="9"/>
        <v>8.9517902885476008</v>
      </c>
      <c r="L85" s="153"/>
      <c r="M85" s="153"/>
      <c r="N85" s="153"/>
      <c r="O85" s="153"/>
      <c r="P85" s="153">
        <f t="shared" si="10"/>
        <v>-13.928864993082723</v>
      </c>
      <c r="R85" s="151">
        <f t="shared" si="11"/>
        <v>42.227381138869013</v>
      </c>
      <c r="T85" s="152">
        <f t="shared" si="8"/>
        <v>1.5703591991304377E-4</v>
      </c>
      <c r="U85" s="144">
        <f t="shared" si="12"/>
        <v>13.826177903379309</v>
      </c>
      <c r="V85" s="144">
        <f t="shared" si="13"/>
        <v>0</v>
      </c>
      <c r="W85" s="144">
        <f t="shared" si="14"/>
        <v>0</v>
      </c>
      <c r="X85" s="144">
        <f t="shared" si="15"/>
        <v>0</v>
      </c>
      <c r="Y85" s="151">
        <f t="shared" si="16"/>
        <v>17.37364588023992</v>
      </c>
    </row>
    <row r="86" spans="1:25" s="89" customFormat="1" ht="15.75" customHeight="1">
      <c r="A86" s="40" t="s">
        <v>73</v>
      </c>
      <c r="B86" s="140">
        <f>'1.Reel GSYH '!B82</f>
        <v>19288985788.599998</v>
      </c>
      <c r="D86" s="141">
        <f>'1.Reel GSYH '!D82</f>
        <v>399958.6</v>
      </c>
      <c r="E86" s="143">
        <f>'1.Reel GSYH '!K82</f>
        <v>46973920890</v>
      </c>
      <c r="F86" s="143">
        <f>'1.Reel GSYH '!N82</f>
        <v>0</v>
      </c>
      <c r="G86" s="143">
        <f>'1.Reel GSYH '!Q82</f>
        <v>0</v>
      </c>
      <c r="H86" s="143">
        <f>'1.Reel GSYH '!U82</f>
        <v>0</v>
      </c>
      <c r="I86" s="140">
        <f>'1.Reel GSYH '!Y82</f>
        <v>-27685335060</v>
      </c>
      <c r="J86" s="84"/>
      <c r="K86" s="153">
        <f t="shared" si="9"/>
        <v>7.4670728420391574</v>
      </c>
      <c r="L86" s="153"/>
      <c r="M86" s="153"/>
      <c r="N86" s="153"/>
      <c r="O86" s="153"/>
      <c r="P86" s="153">
        <f t="shared" si="10"/>
        <v>-41.229860773807083</v>
      </c>
      <c r="R86" s="151">
        <f t="shared" si="11"/>
        <v>106.89095150552484</v>
      </c>
      <c r="T86" s="152">
        <f t="shared" si="8"/>
        <v>1.5483032818475439E-4</v>
      </c>
      <c r="U86" s="144">
        <f t="shared" si="12"/>
        <v>12.853456580856989</v>
      </c>
      <c r="V86" s="144">
        <f t="shared" si="13"/>
        <v>0</v>
      </c>
      <c r="W86" s="144">
        <f t="shared" si="14"/>
        <v>0</v>
      </c>
      <c r="X86" s="144">
        <f t="shared" si="15"/>
        <v>0</v>
      </c>
      <c r="Y86" s="151">
        <f t="shared" si="16"/>
        <v>59.17690657818914</v>
      </c>
    </row>
    <row r="87" spans="1:25" s="89" customFormat="1" ht="15.75" customHeight="1">
      <c r="A87" s="40" t="s">
        <v>74</v>
      </c>
      <c r="B87" s="140">
        <f>'1.Reel GSYH '!B83</f>
        <v>20825080286</v>
      </c>
      <c r="D87" s="141">
        <f>'1.Reel GSYH '!D83</f>
        <v>447356</v>
      </c>
      <c r="E87" s="143">
        <f>'1.Reel GSYH '!K83</f>
        <v>46996409100</v>
      </c>
      <c r="F87" s="143">
        <f>'1.Reel GSYH '!N83</f>
        <v>0</v>
      </c>
      <c r="G87" s="143">
        <f>'1.Reel GSYH '!Q83</f>
        <v>0</v>
      </c>
      <c r="H87" s="143">
        <f>'1.Reel GSYH '!U83</f>
        <v>0</v>
      </c>
      <c r="I87" s="140">
        <f>'1.Reel GSYH '!Y83</f>
        <v>-26171776170</v>
      </c>
      <c r="J87" s="84"/>
      <c r="K87" s="153">
        <f t="shared" si="9"/>
        <v>6.8593245647761369</v>
      </c>
      <c r="L87" s="153"/>
      <c r="M87" s="153"/>
      <c r="N87" s="153"/>
      <c r="O87" s="153"/>
      <c r="P87" s="153">
        <f t="shared" si="10"/>
        <v>-41.750882855727866</v>
      </c>
      <c r="R87" s="151">
        <f t="shared" si="11"/>
        <v>104.46611228781313</v>
      </c>
      <c r="T87" s="152">
        <f t="shared" si="8"/>
        <v>1.4734925185680493E-4</v>
      </c>
      <c r="U87" s="144">
        <f t="shared" si="12"/>
        <v>8.7727111336561627</v>
      </c>
      <c r="V87" s="144">
        <f t="shared" si="13"/>
        <v>0</v>
      </c>
      <c r="W87" s="144">
        <f t="shared" si="14"/>
        <v>0</v>
      </c>
      <c r="X87" s="144">
        <f t="shared" si="15"/>
        <v>0</v>
      </c>
      <c r="Y87" s="151">
        <f t="shared" si="16"/>
        <v>52.470134376124442</v>
      </c>
    </row>
    <row r="88" spans="1:25" s="89" customFormat="1" ht="15.75" customHeight="1">
      <c r="A88" s="40" t="s">
        <v>75</v>
      </c>
      <c r="B88" s="140">
        <f>'1.Reel GSYH '!B84</f>
        <v>27665035933</v>
      </c>
      <c r="D88" s="141">
        <f>'1.Reel GSYH '!D84</f>
        <v>431313</v>
      </c>
      <c r="E88" s="143">
        <f>'1.Reel GSYH '!K84</f>
        <v>51030067210</v>
      </c>
      <c r="F88" s="143">
        <f>'1.Reel GSYH '!N84</f>
        <v>0</v>
      </c>
      <c r="G88" s="143">
        <f>'1.Reel GSYH '!Q84</f>
        <v>0</v>
      </c>
      <c r="H88" s="143">
        <f>'1.Reel GSYH '!U84</f>
        <v>0</v>
      </c>
      <c r="I88" s="140">
        <f>'1.Reel GSYH '!Y84</f>
        <v>-23365462590</v>
      </c>
      <c r="J88" s="84"/>
      <c r="K88" s="153">
        <f t="shared" si="9"/>
        <v>7.6557163823024021</v>
      </c>
      <c r="L88" s="153"/>
      <c r="M88" s="153"/>
      <c r="N88" s="153"/>
      <c r="O88" s="153"/>
      <c r="P88" s="153">
        <f t="shared" si="10"/>
        <v>-50.964088744797245</v>
      </c>
      <c r="R88" s="151">
        <f t="shared" si="11"/>
        <v>69.066698797625591</v>
      </c>
      <c r="T88" s="152">
        <f t="shared" si="8"/>
        <v>1.1935679418587791E-4</v>
      </c>
      <c r="U88" s="144">
        <f t="shared" si="12"/>
        <v>21.91978064338532</v>
      </c>
      <c r="V88" s="144">
        <f t="shared" si="13"/>
        <v>0</v>
      </c>
      <c r="W88" s="144">
        <f t="shared" si="14"/>
        <v>0</v>
      </c>
      <c r="X88" s="144">
        <f t="shared" si="15"/>
        <v>0</v>
      </c>
      <c r="Y88" s="151">
        <f t="shared" si="16"/>
        <v>43.043483185198575</v>
      </c>
    </row>
    <row r="89" spans="1:25" s="89" customFormat="1" ht="15.75" customHeight="1">
      <c r="A89" s="40" t="s">
        <v>76</v>
      </c>
      <c r="B89" s="140">
        <f>'1.Reel GSYH '!B85</f>
        <v>29159906635.900002</v>
      </c>
      <c r="D89" s="141">
        <f>'1.Reel GSYH '!D85</f>
        <v>391855.9</v>
      </c>
      <c r="E89" s="143">
        <f>'1.Reel GSYH '!K85</f>
        <v>51170307400</v>
      </c>
      <c r="F89" s="143">
        <f>'1.Reel GSYH '!N85</f>
        <v>0</v>
      </c>
      <c r="G89" s="143">
        <f>'1.Reel GSYH '!Q85</f>
        <v>0</v>
      </c>
      <c r="H89" s="143">
        <f>'1.Reel GSYH '!U85</f>
        <v>0</v>
      </c>
      <c r="I89" s="140">
        <f>'1.Reel GSYH '!Y85</f>
        <v>-22010792620</v>
      </c>
      <c r="J89" s="84"/>
      <c r="K89" s="153">
        <f t="shared" si="9"/>
        <v>9.8716900779087347</v>
      </c>
      <c r="L89" s="153"/>
      <c r="M89" s="153"/>
      <c r="N89" s="153"/>
      <c r="O89" s="153"/>
      <c r="P89" s="153">
        <f t="shared" si="10"/>
        <v>-2.0730709151536186</v>
      </c>
      <c r="R89" s="151">
        <f t="shared" si="11"/>
        <v>36.608635603988859</v>
      </c>
      <c r="T89" s="152">
        <f t="shared" si="8"/>
        <v>1.3265748921286306E-4</v>
      </c>
      <c r="U89" s="144">
        <f t="shared" si="12"/>
        <v>24.853578222709178</v>
      </c>
      <c r="V89" s="144">
        <f t="shared" si="13"/>
        <v>0</v>
      </c>
      <c r="W89" s="144">
        <f t="shared" si="14"/>
        <v>0</v>
      </c>
      <c r="X89" s="144">
        <f t="shared" si="15"/>
        <v>0</v>
      </c>
      <c r="Y89" s="151">
        <f t="shared" si="16"/>
        <v>1.5648175616523767</v>
      </c>
    </row>
    <row r="90" spans="1:25" s="89" customFormat="1" ht="15.75" customHeight="1">
      <c r="A90" s="40" t="s">
        <v>77</v>
      </c>
      <c r="B90" s="140">
        <f>'1.Reel GSYH '!B86</f>
        <v>39907166233.800003</v>
      </c>
      <c r="D90" s="141">
        <f>'1.Reel GSYH '!D86</f>
        <v>429823.8</v>
      </c>
      <c r="E90" s="143">
        <f>'1.Reel GSYH '!K86</f>
        <v>56177446370</v>
      </c>
      <c r="F90" s="143">
        <f>'1.Reel GSYH '!N86</f>
        <v>0</v>
      </c>
      <c r="G90" s="143">
        <f>'1.Reel GSYH '!Q86</f>
        <v>0</v>
      </c>
      <c r="H90" s="143">
        <f>'1.Reel GSYH '!U86</f>
        <v>0</v>
      </c>
      <c r="I90" s="140">
        <f>'1.Reel GSYH '!Y86</f>
        <v>-16270709960</v>
      </c>
      <c r="J90" s="84"/>
      <c r="K90" s="153">
        <f t="shared" si="9"/>
        <v>11.446876603854882</v>
      </c>
      <c r="L90" s="153"/>
      <c r="M90" s="153"/>
      <c r="N90" s="153"/>
      <c r="O90" s="153"/>
      <c r="P90" s="153">
        <f t="shared" si="10"/>
        <v>30.463478558620839</v>
      </c>
      <c r="R90" s="151">
        <f t="shared" si="11"/>
        <v>3.8428790518859612</v>
      </c>
      <c r="T90" s="152">
        <f t="shared" si="8"/>
        <v>1.2328963603115489E-4</v>
      </c>
      <c r="U90" s="144">
        <f t="shared" si="12"/>
        <v>47.713890097007507</v>
      </c>
      <c r="V90" s="144">
        <f t="shared" si="13"/>
        <v>0</v>
      </c>
      <c r="W90" s="144">
        <f t="shared" si="14"/>
        <v>0</v>
      </c>
      <c r="X90" s="144">
        <f t="shared" si="15"/>
        <v>0</v>
      </c>
      <c r="Y90" s="151">
        <f t="shared" si="16"/>
        <v>-12.42038638113546</v>
      </c>
    </row>
    <row r="91" spans="1:25" s="89" customFormat="1" ht="15.75" customHeight="1">
      <c r="A91" s="40" t="s">
        <v>78</v>
      </c>
      <c r="B91" s="140">
        <f>'1.Reel GSYH '!B87</f>
        <v>42580232041.599998</v>
      </c>
      <c r="D91" s="141">
        <f>'1.Reel GSYH '!D87</f>
        <v>478041.59999999998</v>
      </c>
      <c r="E91" s="143">
        <f>'1.Reel GSYH '!K87</f>
        <v>57824582560</v>
      </c>
      <c r="F91" s="143">
        <f>'1.Reel GSYH '!N87</f>
        <v>0</v>
      </c>
      <c r="G91" s="143">
        <f>'1.Reel GSYH '!Q87</f>
        <v>0</v>
      </c>
      <c r="H91" s="143">
        <f>'1.Reel GSYH '!U87</f>
        <v>0</v>
      </c>
      <c r="I91" s="140">
        <f>'1.Reel GSYH '!Y87</f>
        <v>-15244828560</v>
      </c>
      <c r="J91" s="84"/>
      <c r="K91" s="153">
        <f t="shared" si="9"/>
        <v>11.562947659785273</v>
      </c>
      <c r="L91" s="153"/>
      <c r="M91" s="153"/>
      <c r="N91" s="153"/>
      <c r="O91" s="153"/>
      <c r="P91" s="153">
        <f t="shared" si="10"/>
        <v>55.404657433550057</v>
      </c>
      <c r="R91" s="151">
        <f t="shared" si="11"/>
        <v>-1.0774463696012204</v>
      </c>
      <c r="T91" s="152">
        <f t="shared" si="8"/>
        <v>1.2981540341536153E-4</v>
      </c>
      <c r="U91" s="144">
        <f t="shared" si="12"/>
        <v>51.995830562436851</v>
      </c>
      <c r="V91" s="144">
        <f t="shared" si="13"/>
        <v>0</v>
      </c>
      <c r="W91" s="144">
        <f t="shared" si="14"/>
        <v>0</v>
      </c>
      <c r="X91" s="144">
        <f t="shared" si="15"/>
        <v>0</v>
      </c>
      <c r="Y91" s="151">
        <f t="shared" si="16"/>
        <v>-19.836305804412003</v>
      </c>
    </row>
    <row r="92" spans="1:25" s="89" customFormat="1" ht="15.75" customHeight="1">
      <c r="A92" s="40" t="s">
        <v>79</v>
      </c>
      <c r="B92" s="140">
        <f>'1.Reel GSYH '!B88</f>
        <v>46772362973.099998</v>
      </c>
      <c r="D92" s="141">
        <f>'1.Reel GSYH '!D88</f>
        <v>464333.1</v>
      </c>
      <c r="E92" s="143">
        <f>'1.Reel GSYH '!K88</f>
        <v>58229366140</v>
      </c>
      <c r="F92" s="143">
        <f>'1.Reel GSYH '!N88</f>
        <v>0</v>
      </c>
      <c r="G92" s="143">
        <f>'1.Reel GSYH '!Q88</f>
        <v>0</v>
      </c>
      <c r="H92" s="143">
        <f>'1.Reel GSYH '!U88</f>
        <v>0</v>
      </c>
      <c r="I92" s="140">
        <f>'1.Reel GSYH '!Y88</f>
        <v>-11457467500</v>
      </c>
      <c r="J92" s="84"/>
      <c r="K92" s="153">
        <f t="shared" si="9"/>
        <v>11.08716996483774</v>
      </c>
      <c r="L92" s="153"/>
      <c r="M92" s="153"/>
      <c r="N92" s="153"/>
      <c r="O92" s="153"/>
      <c r="P92" s="153">
        <f t="shared" si="10"/>
        <v>106.22047760554416</v>
      </c>
      <c r="R92" s="151">
        <f t="shared" si="11"/>
        <v>-9.9484975160997191</v>
      </c>
      <c r="T92" s="152">
        <f t="shared" si="8"/>
        <v>1.1006799042761281E-4</v>
      </c>
      <c r="U92" s="144">
        <f t="shared" si="12"/>
        <v>26.023096255632833</v>
      </c>
      <c r="V92" s="144">
        <f t="shared" si="13"/>
        <v>0</v>
      </c>
      <c r="W92" s="144">
        <f t="shared" si="14"/>
        <v>0</v>
      </c>
      <c r="X92" s="144">
        <f t="shared" si="15"/>
        <v>0</v>
      </c>
      <c r="Y92" s="151">
        <f t="shared" si="16"/>
        <v>-26.020016792821405</v>
      </c>
    </row>
    <row r="93" spans="1:25" s="89" customFormat="1" ht="15.75" customHeight="1">
      <c r="A93" s="40" t="s">
        <v>80</v>
      </c>
      <c r="B93" s="140">
        <f>'1.Reel GSYH '!B89</f>
        <v>39834950598.699997</v>
      </c>
      <c r="D93" s="141">
        <f>'1.Reel GSYH '!D89</f>
        <v>430538.7</v>
      </c>
      <c r="E93" s="143">
        <f>'1.Reel GSYH '!K89</f>
        <v>61389013340</v>
      </c>
      <c r="F93" s="143">
        <f>'1.Reel GSYH '!N89</f>
        <v>0</v>
      </c>
      <c r="G93" s="143">
        <f>'1.Reel GSYH '!Q89</f>
        <v>0</v>
      </c>
      <c r="H93" s="143">
        <f>'1.Reel GSYH '!U89</f>
        <v>0</v>
      </c>
      <c r="I93" s="140">
        <f>'1.Reel GSYH '!Y89</f>
        <v>-21554493280</v>
      </c>
      <c r="J93" s="84"/>
      <c r="K93" s="153">
        <f t="shared" si="9"/>
        <v>6.7180023537953826</v>
      </c>
      <c r="L93" s="153"/>
      <c r="M93" s="153"/>
      <c r="N93" s="153"/>
      <c r="O93" s="153"/>
      <c r="P93" s="153">
        <f t="shared" si="10"/>
        <v>-27.130157522311283</v>
      </c>
      <c r="R93" s="151">
        <f t="shared" si="11"/>
        <v>42.097206426929205</v>
      </c>
      <c r="T93" s="152">
        <f t="shared" si="8"/>
        <v>7.2608600149598143E-5</v>
      </c>
      <c r="U93" s="144">
        <f t="shared" si="12"/>
        <v>35.043685384847279</v>
      </c>
      <c r="V93" s="144">
        <f t="shared" si="13"/>
        <v>0</v>
      </c>
      <c r="W93" s="144">
        <f t="shared" si="14"/>
        <v>0</v>
      </c>
      <c r="X93" s="144">
        <f t="shared" si="15"/>
        <v>0</v>
      </c>
      <c r="Y93" s="151">
        <f t="shared" si="16"/>
        <v>14.679993051606397</v>
      </c>
    </row>
    <row r="94" spans="1:25" s="89" customFormat="1" ht="15.75" customHeight="1">
      <c r="A94" s="40" t="s">
        <v>81</v>
      </c>
      <c r="B94" s="140">
        <f>'1.Reel GSYH '!B90</f>
        <v>41440750365.200012</v>
      </c>
      <c r="D94" s="141">
        <f>'1.Reel GSYH '!D90</f>
        <v>479025.19999999995</v>
      </c>
      <c r="E94" s="143">
        <f>'1.Reel GSYH '!K90</f>
        <v>62667605540</v>
      </c>
      <c r="F94" s="143">
        <f>'1.Reel GSYH '!N90</f>
        <v>0</v>
      </c>
      <c r="G94" s="143">
        <f>'1.Reel GSYH '!Q90</f>
        <v>0</v>
      </c>
      <c r="H94" s="143">
        <f>'1.Reel GSYH '!U90</f>
        <v>0</v>
      </c>
      <c r="I94" s="140">
        <f>'1.Reel GSYH '!Y90</f>
        <v>-21227334199.999985</v>
      </c>
      <c r="J94" s="84"/>
      <c r="K94" s="153">
        <f t="shared" si="9"/>
        <v>7.3379646832776313</v>
      </c>
      <c r="L94" s="153"/>
      <c r="M94" s="153"/>
      <c r="N94" s="153"/>
      <c r="O94" s="153"/>
      <c r="P94" s="153">
        <f t="shared" si="10"/>
        <v>-28.939281975406928</v>
      </c>
      <c r="R94" s="151">
        <f t="shared" si="11"/>
        <v>30.213771638687238</v>
      </c>
      <c r="T94" s="152">
        <f>((D98-D94)/($B94))*100</f>
        <v>8.4821581873473917E-5</v>
      </c>
      <c r="U94" s="144">
        <f t="shared" si="12"/>
        <v>16.263142143385409</v>
      </c>
      <c r="V94" s="144">
        <f t="shared" si="13"/>
        <v>0</v>
      </c>
      <c r="W94" s="144">
        <f t="shared" si="14"/>
        <v>0</v>
      </c>
      <c r="X94" s="144">
        <f t="shared" si="15"/>
        <v>0</v>
      </c>
      <c r="Y94" s="151">
        <f t="shared" si="16"/>
        <v>14.823665222912128</v>
      </c>
    </row>
    <row r="95" spans="1:25" s="89" customFormat="1" ht="15.75" customHeight="1">
      <c r="A95" s="40" t="s">
        <v>82</v>
      </c>
      <c r="B95" s="140">
        <f>'1.Reel GSYH '!B91</f>
        <v>42121452877.300003</v>
      </c>
      <c r="D95" s="141">
        <f>'1.Reel GSYH '!D91</f>
        <v>533317.30000000005</v>
      </c>
      <c r="E95" s="143">
        <f>'1.Reel GSYH '!K91</f>
        <v>65812093160</v>
      </c>
      <c r="F95" s="143">
        <f>'1.Reel GSYH '!N91</f>
        <v>0</v>
      </c>
      <c r="G95" s="143">
        <f>'1.Reel GSYH '!Q91</f>
        <v>0</v>
      </c>
      <c r="H95" s="143">
        <f>'1.Reel GSYH '!U91</f>
        <v>0</v>
      </c>
      <c r="I95" s="140">
        <f>'1.Reel GSYH '!Y91</f>
        <v>-23691173600</v>
      </c>
      <c r="J95" s="84"/>
      <c r="K95" s="153">
        <f t="shared" si="9"/>
        <v>7.222904638570693</v>
      </c>
      <c r="L95" s="153"/>
      <c r="M95" s="153"/>
      <c r="N95" s="153"/>
      <c r="O95" s="153"/>
      <c r="P95" s="153">
        <f t="shared" si="10"/>
        <v>-35.244062793073283</v>
      </c>
      <c r="R95" s="151">
        <f t="shared" si="11"/>
        <v>37.302745887637045</v>
      </c>
      <c r="T95" s="152">
        <f t="shared" ref="T95:T107" si="17">((D99-D95)/($B95))*100</f>
        <v>9.1452211091131775E-5</v>
      </c>
      <c r="U95" s="144">
        <f t="shared" si="12"/>
        <v>18.758729619407355</v>
      </c>
      <c r="V95" s="144">
        <f t="shared" si="13"/>
        <v>0</v>
      </c>
      <c r="W95" s="144">
        <f t="shared" si="14"/>
        <v>0</v>
      </c>
      <c r="X95" s="144">
        <f t="shared" si="15"/>
        <v>0</v>
      </c>
      <c r="Y95" s="151">
        <f t="shared" si="16"/>
        <v>19.822991681513955</v>
      </c>
    </row>
    <row r="96" spans="1:25" s="89" customFormat="1" ht="15.75" customHeight="1">
      <c r="A96" s="40" t="s">
        <v>83</v>
      </c>
      <c r="B96" s="140">
        <f>'1.Reel GSYH '!B92</f>
        <v>42119215604.5</v>
      </c>
      <c r="D96" s="141">
        <f>'1.Reel GSYH '!D92</f>
        <v>515814.5</v>
      </c>
      <c r="E96" s="143">
        <f>'1.Reel GSYH '!K92</f>
        <v>65746343990</v>
      </c>
      <c r="F96" s="143">
        <f>'1.Reel GSYH '!N92</f>
        <v>0</v>
      </c>
      <c r="G96" s="143">
        <f>'1.Reel GSYH '!Q92</f>
        <v>0</v>
      </c>
      <c r="H96" s="143">
        <f>'1.Reel GSYH '!U92</f>
        <v>0</v>
      </c>
      <c r="I96" s="140">
        <f>'1.Reel GSYH '!Y92</f>
        <v>-23627644200</v>
      </c>
      <c r="J96" s="84"/>
      <c r="K96" s="153">
        <f t="shared" si="9"/>
        <v>8.7179790409148907</v>
      </c>
      <c r="L96" s="153"/>
      <c r="M96" s="153"/>
      <c r="N96" s="153"/>
      <c r="O96" s="153"/>
      <c r="P96" s="153">
        <f t="shared" si="10"/>
        <v>-3.4443133353091571</v>
      </c>
      <c r="R96" s="151">
        <f t="shared" si="11"/>
        <v>20.496643882602726</v>
      </c>
      <c r="T96" s="152">
        <f t="shared" si="17"/>
        <v>1.0676504620184701E-4</v>
      </c>
      <c r="U96" s="144">
        <f t="shared" si="12"/>
        <v>16.071409208731254</v>
      </c>
      <c r="V96" s="144">
        <f t="shared" si="13"/>
        <v>0</v>
      </c>
      <c r="W96" s="144">
        <f t="shared" si="14"/>
        <v>0</v>
      </c>
      <c r="X96" s="144">
        <f t="shared" si="15"/>
        <v>0</v>
      </c>
      <c r="Y96" s="151">
        <f t="shared" si="16"/>
        <v>1.9321587268900917</v>
      </c>
    </row>
    <row r="97" spans="1:25" s="89" customFormat="1" ht="15.75" customHeight="1">
      <c r="A97" s="40" t="s">
        <v>84</v>
      </c>
      <c r="B97" s="140">
        <f>'1.Reel GSYH '!B93</f>
        <v>56604351982.300003</v>
      </c>
      <c r="D97" s="141">
        <f>'1.Reel GSYH '!D93</f>
        <v>459462.30000000005</v>
      </c>
      <c r="E97" s="143">
        <f>'1.Reel GSYH '!K93</f>
        <v>72310617820</v>
      </c>
      <c r="F97" s="143">
        <f>'1.Reel GSYH '!N93</f>
        <v>0</v>
      </c>
      <c r="G97" s="143">
        <f>'1.Reel GSYH '!Q93</f>
        <v>0</v>
      </c>
      <c r="H97" s="143">
        <f>'1.Reel GSYH '!U93</f>
        <v>0</v>
      </c>
      <c r="I97" s="140">
        <f>'1.Reel GSYH '!Y93</f>
        <v>-15706725300</v>
      </c>
      <c r="J97" s="84"/>
      <c r="K97" s="153">
        <f t="shared" si="9"/>
        <v>11.037815289741948</v>
      </c>
      <c r="L97" s="153"/>
      <c r="M97" s="153"/>
      <c r="N97" s="153"/>
      <c r="O97" s="153"/>
      <c r="P97" s="153">
        <f t="shared" si="10"/>
        <v>-24.097415773866082</v>
      </c>
      <c r="R97" s="151">
        <f t="shared" si="11"/>
        <v>6.5046783606874214</v>
      </c>
      <c r="T97" s="152">
        <f t="shared" si="17"/>
        <v>8.9594877821158112E-5</v>
      </c>
      <c r="U97" s="144">
        <f t="shared" si="12"/>
        <v>27.417140766722635</v>
      </c>
      <c r="V97" s="144">
        <f t="shared" si="13"/>
        <v>0</v>
      </c>
      <c r="W97" s="144">
        <f t="shared" si="14"/>
        <v>0</v>
      </c>
      <c r="X97" s="144">
        <f t="shared" si="15"/>
        <v>0</v>
      </c>
      <c r="Y97" s="151">
        <f t="shared" si="16"/>
        <v>6.6866146638045532</v>
      </c>
    </row>
    <row r="98" spans="1:25" s="89" customFormat="1" ht="15.75" customHeight="1">
      <c r="A98" s="40" t="s">
        <v>85</v>
      </c>
      <c r="B98" s="140">
        <f>'1.Reel GSYH '!B94</f>
        <v>53961564045.899994</v>
      </c>
      <c r="D98" s="141">
        <f>'1.Reel GSYH '!D94</f>
        <v>514175.9</v>
      </c>
      <c r="E98" s="143">
        <f>'1.Reel GSYH '!K94</f>
        <v>69045345970</v>
      </c>
      <c r="F98" s="143">
        <f>'1.Reel GSYH '!N94</f>
        <v>0</v>
      </c>
      <c r="G98" s="143">
        <f>'1.Reel GSYH '!Q94</f>
        <v>0</v>
      </c>
      <c r="H98" s="143">
        <f>'1.Reel GSYH '!U94</f>
        <v>0</v>
      </c>
      <c r="I98" s="140">
        <f>'1.Reel GSYH '!Y94</f>
        <v>-15084296100</v>
      </c>
      <c r="J98" s="84"/>
      <c r="K98" s="153">
        <f t="shared" si="9"/>
        <v>9.0523106975647583</v>
      </c>
      <c r="L98" s="153"/>
      <c r="M98" s="153"/>
      <c r="N98" s="153"/>
      <c r="O98" s="153"/>
      <c r="P98" s="153">
        <f t="shared" si="10"/>
        <v>-15.876168726229123</v>
      </c>
      <c r="R98" s="151">
        <f t="shared" si="11"/>
        <v>23.409504891398324</v>
      </c>
      <c r="T98" s="152">
        <f t="shared" si="17"/>
        <v>8.6255468726608207E-5</v>
      </c>
      <c r="U98" s="144">
        <f t="shared" si="12"/>
        <v>15.390021594193252</v>
      </c>
      <c r="V98" s="144">
        <f t="shared" si="13"/>
        <v>0</v>
      </c>
      <c r="W98" s="144">
        <f t="shared" si="14"/>
        <v>0</v>
      </c>
      <c r="X98" s="144">
        <f t="shared" si="15"/>
        <v>0</v>
      </c>
      <c r="Y98" s="151">
        <f t="shared" si="16"/>
        <v>4.4379890433920028</v>
      </c>
    </row>
    <row r="99" spans="1:25" s="89" customFormat="1" ht="15.75" customHeight="1">
      <c r="A99" s="40" t="s">
        <v>86</v>
      </c>
      <c r="B99" s="140">
        <f>'1.Reel GSYH '!B95</f>
        <v>57833911408.300003</v>
      </c>
      <c r="D99" s="141">
        <f>'1.Reel GSYH '!D95</f>
        <v>571838.30000000005</v>
      </c>
      <c r="E99" s="143">
        <f>'1.Reel GSYH '!K95</f>
        <v>73174781070</v>
      </c>
      <c r="F99" s="143">
        <f>'1.Reel GSYH '!N95</f>
        <v>0</v>
      </c>
      <c r="G99" s="143">
        <f>'1.Reel GSYH '!Q95</f>
        <v>0</v>
      </c>
      <c r="H99" s="143">
        <f>'1.Reel GSYH '!U95</f>
        <v>0</v>
      </c>
      <c r="I99" s="140">
        <f>'1.Reel GSYH '!Y95</f>
        <v>-15341441500</v>
      </c>
      <c r="J99" s="84"/>
      <c r="K99" s="153">
        <f t="shared" si="9"/>
        <v>8.2665676643204797</v>
      </c>
      <c r="L99" s="153"/>
      <c r="M99" s="153"/>
      <c r="N99" s="153"/>
      <c r="O99" s="153"/>
      <c r="P99" s="153">
        <f t="shared" si="10"/>
        <v>-37.464846442232954</v>
      </c>
      <c r="R99" s="151">
        <f t="shared" si="11"/>
        <v>28.089150026032293</v>
      </c>
      <c r="T99" s="152">
        <f t="shared" si="17"/>
        <v>8.1736474066693987E-5</v>
      </c>
      <c r="U99" s="144">
        <f t="shared" si="12"/>
        <v>17.479662753911992</v>
      </c>
      <c r="V99" s="144">
        <f t="shared" si="13"/>
        <v>0</v>
      </c>
      <c r="W99" s="144">
        <f t="shared" si="14"/>
        <v>0</v>
      </c>
      <c r="X99" s="144">
        <f t="shared" si="15"/>
        <v>0</v>
      </c>
      <c r="Y99" s="151">
        <f t="shared" si="16"/>
        <v>9.938196051486722</v>
      </c>
    </row>
    <row r="100" spans="1:25" s="89" customFormat="1" ht="15.75" customHeight="1">
      <c r="A100" s="40" t="s">
        <v>87</v>
      </c>
      <c r="B100" s="140">
        <f>'1.Reel GSYH '!B96</f>
        <v>50752241233.100006</v>
      </c>
      <c r="D100" s="141">
        <f>'1.Reel GSYH '!D96</f>
        <v>560783.1</v>
      </c>
      <c r="E100" s="143">
        <f>'1.Reel GSYH '!K96</f>
        <v>73565514550</v>
      </c>
      <c r="F100" s="143">
        <f>'1.Reel GSYH '!N96</f>
        <v>0</v>
      </c>
      <c r="G100" s="143">
        <f>'1.Reel GSYH '!Q96</f>
        <v>0</v>
      </c>
      <c r="H100" s="143">
        <f>'1.Reel GSYH '!U96</f>
        <v>0</v>
      </c>
      <c r="I100" s="140">
        <f>'1.Reel GSYH '!Y96</f>
        <v>-22813834100</v>
      </c>
      <c r="J100" s="84"/>
      <c r="K100" s="153">
        <f t="shared" si="9"/>
        <v>10.102854383450577</v>
      </c>
      <c r="L100" s="153"/>
      <c r="M100" s="153"/>
      <c r="N100" s="153"/>
      <c r="O100" s="153"/>
      <c r="P100" s="153">
        <f t="shared" si="10"/>
        <v>-41.155358011479535</v>
      </c>
      <c r="R100" s="151">
        <f t="shared" si="11"/>
        <v>49.678228236857635</v>
      </c>
      <c r="T100" s="152">
        <f t="shared" si="17"/>
        <v>1.1163073516258863E-4</v>
      </c>
      <c r="U100" s="144">
        <f t="shared" si="12"/>
        <v>18.564378390666427</v>
      </c>
      <c r="V100" s="144">
        <f t="shared" si="13"/>
        <v>0</v>
      </c>
      <c r="W100" s="144">
        <f t="shared" si="14"/>
        <v>0</v>
      </c>
      <c r="X100" s="144">
        <f t="shared" si="15"/>
        <v>0</v>
      </c>
      <c r="Y100" s="151">
        <f t="shared" si="16"/>
        <v>18.499902411948128</v>
      </c>
    </row>
    <row r="101" spans="1:25" s="89" customFormat="1" ht="15.75" customHeight="1">
      <c r="A101" s="40" t="s">
        <v>88</v>
      </c>
      <c r="B101" s="140">
        <f>'1.Reel GSYH '!B97</f>
        <v>60286283016.900009</v>
      </c>
      <c r="D101" s="141">
        <f>'1.Reel GSYH '!D97</f>
        <v>510176.9</v>
      </c>
      <c r="E101" s="143">
        <f>'1.Reel GSYH '!K97</f>
        <v>72207583240</v>
      </c>
      <c r="F101" s="143">
        <f>'1.Reel GSYH '!N97</f>
        <v>0</v>
      </c>
      <c r="G101" s="143">
        <f>'1.Reel GSYH '!Q97</f>
        <v>0</v>
      </c>
      <c r="H101" s="143">
        <f>'1.Reel GSYH '!U97</f>
        <v>0</v>
      </c>
      <c r="I101" s="140">
        <f>'1.Reel GSYH '!Y97</f>
        <v>-11921810399.999985</v>
      </c>
      <c r="J101" s="84"/>
      <c r="K101" s="153">
        <f t="shared" si="9"/>
        <v>6.3391149226866172</v>
      </c>
      <c r="L101" s="153"/>
      <c r="M101" s="153"/>
      <c r="N101" s="153"/>
      <c r="O101" s="153"/>
      <c r="P101" s="153">
        <f t="shared" si="10"/>
        <v>-3.8803712228134835</v>
      </c>
      <c r="R101" s="151">
        <f t="shared" si="11"/>
        <v>35.293495976083648</v>
      </c>
      <c r="T101" s="152">
        <f t="shared" si="17"/>
        <v>5.3645204815387122E-5</v>
      </c>
      <c r="U101" s="144">
        <f t="shared" si="12"/>
        <v>-0.18202589799494318</v>
      </c>
      <c r="V101" s="144">
        <f t="shared" si="13"/>
        <v>0</v>
      </c>
      <c r="W101" s="144">
        <f t="shared" si="14"/>
        <v>0</v>
      </c>
      <c r="X101" s="144">
        <f t="shared" si="15"/>
        <v>0</v>
      </c>
      <c r="Y101" s="151">
        <f t="shared" si="16"/>
        <v>0.76735614944165897</v>
      </c>
    </row>
    <row r="102" spans="1:25" s="89" customFormat="1" ht="15.75" customHeight="1">
      <c r="A102" s="40" t="s">
        <v>89</v>
      </c>
      <c r="B102" s="140">
        <f>'1.Reel GSYH '!B98</f>
        <v>66593699020.699997</v>
      </c>
      <c r="D102" s="141">
        <f>'1.Reel GSYH '!D98</f>
        <v>560720.69999999995</v>
      </c>
      <c r="E102" s="143">
        <f>'1.Reel GSYH '!K98</f>
        <v>79282626100</v>
      </c>
      <c r="F102" s="143">
        <f>'1.Reel GSYH '!N98</f>
        <v>0</v>
      </c>
      <c r="G102" s="143">
        <f>'1.Reel GSYH '!Q98</f>
        <v>0</v>
      </c>
      <c r="H102" s="143">
        <f>'1.Reel GSYH '!U98</f>
        <v>0</v>
      </c>
      <c r="I102" s="140">
        <f>'1.Reel GSYH '!Y98</f>
        <v>-12689487800</v>
      </c>
      <c r="J102" s="84"/>
      <c r="K102" s="153">
        <f t="shared" si="9"/>
        <v>6.3803958013321171</v>
      </c>
      <c r="L102" s="153"/>
      <c r="M102" s="153"/>
      <c r="N102" s="153"/>
      <c r="O102" s="153"/>
      <c r="P102" s="153">
        <f t="shared" si="10"/>
        <v>34.717441471514718</v>
      </c>
      <c r="R102" s="151">
        <f t="shared" si="11"/>
        <v>22.113223041751382</v>
      </c>
      <c r="T102" s="152">
        <f t="shared" si="17"/>
        <v>5.3723100722906815E-5</v>
      </c>
      <c r="U102" s="144">
        <f t="shared" si="12"/>
        <v>18.971429592537596</v>
      </c>
      <c r="V102" s="144">
        <f t="shared" si="13"/>
        <v>0</v>
      </c>
      <c r="W102" s="144">
        <f t="shared" si="14"/>
        <v>0</v>
      </c>
      <c r="X102" s="144">
        <f t="shared" si="15"/>
        <v>0</v>
      </c>
      <c r="Y102" s="151">
        <f t="shared" si="16"/>
        <v>-6.6154389451029054</v>
      </c>
    </row>
    <row r="103" spans="1:25" s="89" customFormat="1" ht="15.75" customHeight="1">
      <c r="A103" s="40" t="s">
        <v>90</v>
      </c>
      <c r="B103" s="140">
        <f>'1.Reel GSYH '!B99</f>
        <v>74078965549.699997</v>
      </c>
      <c r="D103" s="141">
        <f>'1.Reel GSYH '!D99</f>
        <v>619109.69999999995</v>
      </c>
      <c r="E103" s="143">
        <f>'1.Reel GSYH '!K99</f>
        <v>83672140440</v>
      </c>
      <c r="F103" s="143">
        <f>'1.Reel GSYH '!N99</f>
        <v>0</v>
      </c>
      <c r="G103" s="143">
        <f>'1.Reel GSYH '!Q99</f>
        <v>0</v>
      </c>
      <c r="H103" s="143">
        <f>'1.Reel GSYH '!U99</f>
        <v>0</v>
      </c>
      <c r="I103" s="140">
        <f>'1.Reel GSYH '!Y99</f>
        <v>-9593794000</v>
      </c>
      <c r="J103" s="84"/>
      <c r="K103" s="153">
        <f t="shared" si="9"/>
        <v>2.3470153996941301</v>
      </c>
      <c r="L103" s="153"/>
      <c r="M103" s="153"/>
      <c r="N103" s="153"/>
      <c r="O103" s="153"/>
      <c r="P103" s="153">
        <f t="shared" si="10"/>
        <v>57.900112301765084</v>
      </c>
      <c r="R103" s="151">
        <f t="shared" si="11"/>
        <v>6.3735739093607302</v>
      </c>
      <c r="T103" s="152">
        <f t="shared" si="17"/>
        <v>1.9615014724053392E-5</v>
      </c>
      <c r="U103" s="144">
        <f t="shared" si="12"/>
        <v>18.150872238071514</v>
      </c>
      <c r="V103" s="144">
        <f t="shared" si="13"/>
        <v>0</v>
      </c>
      <c r="W103" s="144">
        <f t="shared" si="14"/>
        <v>0</v>
      </c>
      <c r="X103" s="144">
        <f t="shared" si="15"/>
        <v>0</v>
      </c>
      <c r="Y103" s="151">
        <f t="shared" si="16"/>
        <v>-7.4985084615864963</v>
      </c>
    </row>
    <row r="104" spans="1:25" s="89" customFormat="1" ht="15.75" customHeight="1">
      <c r="A104" s="40" t="s">
        <v>91</v>
      </c>
      <c r="B104" s="140">
        <f>'1.Reel GSYH '!B100</f>
        <v>75965055468.199997</v>
      </c>
      <c r="D104" s="141">
        <f>'1.Reel GSYH '!D100</f>
        <v>617438.19999999995</v>
      </c>
      <c r="E104" s="143">
        <f>'1.Reel GSYH '!K100</f>
        <v>89389157030</v>
      </c>
      <c r="F104" s="143">
        <f>'1.Reel GSYH '!N100</f>
        <v>0</v>
      </c>
      <c r="G104" s="143">
        <f>'1.Reel GSYH '!Q100</f>
        <v>0</v>
      </c>
      <c r="H104" s="143">
        <f>'1.Reel GSYH '!U100</f>
        <v>0</v>
      </c>
      <c r="I104" s="140">
        <f>'1.Reel GSYH '!Y100</f>
        <v>-13424719000</v>
      </c>
      <c r="J104" s="84"/>
      <c r="K104" s="153">
        <f t="shared" si="9"/>
        <v>-100</v>
      </c>
      <c r="L104" s="153"/>
      <c r="M104" s="153"/>
      <c r="N104" s="153"/>
      <c r="O104" s="153"/>
      <c r="P104" s="153">
        <f t="shared" si="10"/>
        <v>-100</v>
      </c>
      <c r="R104" s="151">
        <f t="shared" si="11"/>
        <v>-100</v>
      </c>
      <c r="T104" s="152">
        <f t="shared" si="17"/>
        <v>-8.1279240328925703E-4</v>
      </c>
      <c r="U104" s="144">
        <f t="shared" si="12"/>
        <v>31.178214194174362</v>
      </c>
      <c r="V104" s="144">
        <f t="shared" si="13"/>
        <v>0</v>
      </c>
      <c r="W104" s="144">
        <f t="shared" si="14"/>
        <v>0</v>
      </c>
      <c r="X104" s="144">
        <f t="shared" si="15"/>
        <v>0</v>
      </c>
      <c r="Y104" s="151">
        <f t="shared" si="16"/>
        <v>17.672229576163172</v>
      </c>
    </row>
    <row r="105" spans="1:25" s="89" customFormat="1" ht="15.75" customHeight="1">
      <c r="A105" s="40" t="s">
        <v>92</v>
      </c>
      <c r="B105" s="140">
        <f>'1.Reel GSYH '!B101</f>
        <v>81563419887.600006</v>
      </c>
      <c r="D105" s="141">
        <f>'1.Reel GSYH '!D101</f>
        <v>542517.6</v>
      </c>
      <c r="E105" s="143">
        <f>'1.Reel GSYH '!K101</f>
        <v>93022077270</v>
      </c>
      <c r="F105" s="143">
        <f>'1.Reel GSYH '!N101</f>
        <v>0</v>
      </c>
      <c r="G105" s="143">
        <f>'1.Reel GSYH '!Q101</f>
        <v>0</v>
      </c>
      <c r="H105" s="143">
        <f>'1.Reel GSYH '!U101</f>
        <v>0</v>
      </c>
      <c r="I105" s="140">
        <f>'1.Reel GSYH '!Y101</f>
        <v>-11459199900</v>
      </c>
      <c r="J105" s="84"/>
      <c r="K105" s="153">
        <f t="shared" si="9"/>
        <v>-100</v>
      </c>
      <c r="L105" s="153"/>
      <c r="M105" s="153"/>
      <c r="N105" s="153"/>
      <c r="O105" s="153"/>
      <c r="P105" s="153">
        <f t="shared" si="10"/>
        <v>-100</v>
      </c>
      <c r="R105" s="151">
        <f t="shared" si="11"/>
        <v>-100</v>
      </c>
      <c r="T105" s="152">
        <f t="shared" si="17"/>
        <v>-6.6514817640999659E-4</v>
      </c>
      <c r="U105" s="144">
        <f t="shared" si="12"/>
        <v>34.526086181437144</v>
      </c>
      <c r="V105" s="144">
        <f t="shared" si="13"/>
        <v>0</v>
      </c>
      <c r="W105" s="144">
        <f t="shared" si="14"/>
        <v>0</v>
      </c>
      <c r="X105" s="144">
        <f t="shared" si="15"/>
        <v>0</v>
      </c>
      <c r="Y105" s="151">
        <f t="shared" si="16"/>
        <v>14.049435293163976</v>
      </c>
    </row>
    <row r="106" spans="1:25" s="89" customFormat="1" ht="15.75" customHeight="1">
      <c r="A106" s="40" t="s">
        <v>106</v>
      </c>
      <c r="B106" s="140">
        <f>'1.Reel GSYH '!B102</f>
        <v>81319712216.899994</v>
      </c>
      <c r="D106" s="141">
        <f>'1.Reel GSYH '!D102</f>
        <v>596496.9</v>
      </c>
      <c r="E106" s="143">
        <f>'1.Reel GSYH '!K102</f>
        <v>98414069020</v>
      </c>
      <c r="F106" s="143">
        <f>'1.Reel GSYH '!N102</f>
        <v>0</v>
      </c>
      <c r="G106" s="143">
        <f>'1.Reel GSYH '!Q102</f>
        <v>0</v>
      </c>
      <c r="H106" s="143">
        <f>'1.Reel GSYH '!U102</f>
        <v>0</v>
      </c>
      <c r="I106" s="140">
        <f>'1.Reel GSYH '!Y102</f>
        <v>-17094953300</v>
      </c>
      <c r="J106" s="84"/>
      <c r="K106" s="153">
        <f t="shared" si="9"/>
        <v>-100</v>
      </c>
      <c r="L106" s="153"/>
      <c r="M106" s="153"/>
      <c r="N106" s="153"/>
      <c r="O106" s="153"/>
      <c r="P106" s="153">
        <f t="shared" si="10"/>
        <v>-101.6154430829887</v>
      </c>
      <c r="R106" s="151">
        <f t="shared" si="11"/>
        <v>-100</v>
      </c>
      <c r="T106" s="152">
        <f t="shared" si="17"/>
        <v>-7.3352067258796209E-4</v>
      </c>
      <c r="U106" s="144">
        <f t="shared" si="12"/>
        <v>28.728608263753568</v>
      </c>
      <c r="V106" s="144">
        <f t="shared" si="13"/>
        <v>0</v>
      </c>
      <c r="W106" s="144">
        <f t="shared" si="14"/>
        <v>0</v>
      </c>
      <c r="X106" s="144">
        <f t="shared" si="15"/>
        <v>0</v>
      </c>
      <c r="Y106" s="151">
        <f t="shared" si="16"/>
        <v>21.361502724323351</v>
      </c>
    </row>
    <row r="107" spans="1:25" s="89" customFormat="1" ht="15.75" customHeight="1" thickBot="1">
      <c r="A107" s="40" t="s">
        <v>127</v>
      </c>
      <c r="B107" s="156">
        <f>'1.Reel GSYH '!B103</f>
        <v>78800443170.300003</v>
      </c>
      <c r="C107" s="157"/>
      <c r="D107" s="158">
        <f>'1.Reel GSYH '!D103</f>
        <v>633640.30000000005</v>
      </c>
      <c r="E107" s="159">
        <f>'1.Reel GSYH '!K103</f>
        <v>93948421030</v>
      </c>
      <c r="F107" s="159">
        <f>'1.Reel GSYH '!N103</f>
        <v>0</v>
      </c>
      <c r="G107" s="159">
        <f>'1.Reel GSYH '!Q103</f>
        <v>0</v>
      </c>
      <c r="H107" s="159">
        <f>'1.Reel GSYH '!U103</f>
        <v>0</v>
      </c>
      <c r="I107" s="156">
        <f>'1.Reel GSYH '!Y103</f>
        <v>-15148611500</v>
      </c>
      <c r="J107" s="159"/>
      <c r="K107" s="153">
        <f t="shared" si="9"/>
        <v>-100</v>
      </c>
      <c r="L107" s="153"/>
      <c r="M107" s="153"/>
      <c r="N107" s="153"/>
      <c r="O107" s="153"/>
      <c r="P107" s="153">
        <f t="shared" si="10"/>
        <v>-95.903331573491073</v>
      </c>
      <c r="Q107" s="157"/>
      <c r="R107" s="151">
        <f t="shared" si="11"/>
        <v>-100</v>
      </c>
      <c r="T107" s="152">
        <f t="shared" si="17"/>
        <v>-8.0410753354597875E-4</v>
      </c>
      <c r="U107" s="160">
        <f t="shared" si="12"/>
        <v>13.872062755932498</v>
      </c>
      <c r="V107" s="160">
        <f t="shared" si="13"/>
        <v>0</v>
      </c>
      <c r="W107" s="160">
        <f t="shared" si="14"/>
        <v>0</v>
      </c>
      <c r="X107" s="160">
        <f t="shared" si="15"/>
        <v>0</v>
      </c>
      <c r="Y107" s="151">
        <f t="shared" si="16"/>
        <v>18.436473871381263</v>
      </c>
    </row>
    <row r="108" spans="1:25" s="89" customFormat="1" ht="15.75" customHeight="1">
      <c r="A108" s="40"/>
      <c r="B108" s="161"/>
      <c r="C108" s="162"/>
      <c r="D108" s="161"/>
      <c r="E108" s="143"/>
      <c r="F108" s="143"/>
      <c r="G108" s="161"/>
      <c r="H108" s="161"/>
      <c r="I108" s="161"/>
      <c r="J108" s="161"/>
      <c r="K108" s="163"/>
      <c r="L108" s="163"/>
      <c r="M108" s="161"/>
      <c r="N108" s="161"/>
      <c r="O108" s="163"/>
      <c r="P108" s="163"/>
      <c r="Q108" s="162"/>
      <c r="R108" s="164"/>
      <c r="S108" s="162"/>
      <c r="T108" s="164"/>
      <c r="U108" s="163"/>
      <c r="V108" s="163"/>
      <c r="W108" s="163"/>
      <c r="X108" s="163"/>
      <c r="Y108" s="164"/>
    </row>
    <row r="109" spans="1:25" ht="40.799999999999997" customHeight="1" thickBot="1">
      <c r="A109" s="119" t="s">
        <v>237</v>
      </c>
      <c r="D109" s="165"/>
      <c r="F109" s="165"/>
      <c r="Q109" s="105" t="s">
        <v>264</v>
      </c>
      <c r="R109" s="61" t="s">
        <v>248</v>
      </c>
      <c r="T109" s="63" t="s">
        <v>210</v>
      </c>
      <c r="U109" s="61" t="s">
        <v>211</v>
      </c>
      <c r="V109" s="61" t="s">
        <v>212</v>
      </c>
      <c r="W109" s="61" t="s">
        <v>213</v>
      </c>
      <c r="X109" s="61" t="s">
        <v>214</v>
      </c>
      <c r="Y109" s="65" t="s">
        <v>215</v>
      </c>
    </row>
    <row r="110" spans="1:25" ht="19.649999999999999" customHeight="1">
      <c r="A110" s="120" t="s">
        <v>99</v>
      </c>
      <c r="B110" s="118">
        <f>AVERAGE(B32:B47)</f>
        <v>0</v>
      </c>
      <c r="D110" s="118">
        <f t="shared" ref="D110:I110" si="18">AVERAGE(D32:D47)</f>
        <v>0</v>
      </c>
      <c r="E110" s="118">
        <f t="shared" si="18"/>
        <v>3962249198.9375</v>
      </c>
      <c r="F110" s="118">
        <f t="shared" si="18"/>
        <v>0</v>
      </c>
      <c r="G110" s="118">
        <f t="shared" si="18"/>
        <v>0</v>
      </c>
      <c r="H110" s="118">
        <f t="shared" si="18"/>
        <v>2.2500046874999997</v>
      </c>
      <c r="I110" s="118">
        <f t="shared" si="18"/>
        <v>276159240.62499976</v>
      </c>
      <c r="K110" s="118" t="e">
        <f t="shared" ref="K110:O110" si="19">AVERAGE(K32:K47)</f>
        <v>#DIV/0!</v>
      </c>
      <c r="L110" s="118" t="e">
        <f t="shared" si="19"/>
        <v>#DIV/0!</v>
      </c>
      <c r="M110" s="118" t="e">
        <f t="shared" si="19"/>
        <v>#DIV/0!</v>
      </c>
      <c r="N110" s="118" t="e">
        <f t="shared" si="19"/>
        <v>#DIV/0!</v>
      </c>
      <c r="O110" s="118" t="e">
        <f t="shared" si="19"/>
        <v>#DIV/0!</v>
      </c>
      <c r="P110" s="118" t="e">
        <f t="shared" ref="P110" si="20">AVERAGE(P32:P47)</f>
        <v>#DIV/0!</v>
      </c>
      <c r="Q110" s="189" t="s">
        <v>99</v>
      </c>
      <c r="R110" s="118" t="e">
        <f t="shared" ref="R110" si="21">AVERAGE(R32:R47)</f>
        <v>#DIV/0!</v>
      </c>
      <c r="T110" s="118" t="e">
        <f t="shared" ref="T110:Y110" si="22">AVERAGE(T32:T47)</f>
        <v>#DIV/0!</v>
      </c>
      <c r="U110" s="118" t="e">
        <f t="shared" si="22"/>
        <v>#DIV/0!</v>
      </c>
      <c r="V110" s="118" t="e">
        <f t="shared" si="22"/>
        <v>#DIV/0!</v>
      </c>
      <c r="W110" s="118" t="e">
        <f t="shared" si="22"/>
        <v>#DIV/0!</v>
      </c>
      <c r="X110" s="118" t="e">
        <f t="shared" si="22"/>
        <v>#DIV/0!</v>
      </c>
      <c r="Y110" s="118" t="e">
        <f t="shared" si="22"/>
        <v>#DIV/0!</v>
      </c>
    </row>
    <row r="111" spans="1:25" ht="19.649999999999999" customHeight="1">
      <c r="A111" s="122" t="s">
        <v>100</v>
      </c>
      <c r="B111" s="77">
        <f>AVERAGE(B48:B63)</f>
        <v>0</v>
      </c>
      <c r="D111" s="77">
        <f t="shared" ref="D111:I111" si="23">AVERAGE(D48:D63)</f>
        <v>0</v>
      </c>
      <c r="E111" s="77">
        <f t="shared" si="23"/>
        <v>15467318291.0625</v>
      </c>
      <c r="F111" s="77">
        <f t="shared" si="23"/>
        <v>0</v>
      </c>
      <c r="G111" s="77">
        <f t="shared" si="23"/>
        <v>0</v>
      </c>
      <c r="H111" s="77">
        <f t="shared" si="23"/>
        <v>0</v>
      </c>
      <c r="I111" s="77">
        <f t="shared" si="23"/>
        <v>-620588384.37500012</v>
      </c>
      <c r="K111" s="77" t="e">
        <f t="shared" ref="K111:O111" si="24">AVERAGE(K48:K63)</f>
        <v>#DIV/0!</v>
      </c>
      <c r="L111" s="77" t="e">
        <f t="shared" si="24"/>
        <v>#DIV/0!</v>
      </c>
      <c r="M111" s="77" t="e">
        <f t="shared" si="24"/>
        <v>#DIV/0!</v>
      </c>
      <c r="N111" s="77" t="e">
        <f t="shared" si="24"/>
        <v>#DIV/0!</v>
      </c>
      <c r="O111" s="77" t="e">
        <f t="shared" si="24"/>
        <v>#DIV/0!</v>
      </c>
      <c r="P111" s="77" t="e">
        <f t="shared" ref="P111" si="25">AVERAGE(P48:P63)</f>
        <v>#DIV/0!</v>
      </c>
      <c r="Q111" s="190" t="s">
        <v>100</v>
      </c>
      <c r="R111" s="77" t="e">
        <f t="shared" ref="R111" si="26">AVERAGE(R48:R63)</f>
        <v>#DIV/0!</v>
      </c>
      <c r="T111" s="77" t="e">
        <f t="shared" ref="T111:Y111" si="27">AVERAGE(T48:T63)</f>
        <v>#DIV/0!</v>
      </c>
      <c r="U111" s="77" t="e">
        <f t="shared" si="27"/>
        <v>#DIV/0!</v>
      </c>
      <c r="V111" s="77" t="e">
        <f t="shared" si="27"/>
        <v>#DIV/0!</v>
      </c>
      <c r="W111" s="77" t="e">
        <f t="shared" si="27"/>
        <v>#DIV/0!</v>
      </c>
      <c r="X111" s="77" t="e">
        <f t="shared" si="27"/>
        <v>#DIV/0!</v>
      </c>
      <c r="Y111" s="77" t="e">
        <f t="shared" si="27"/>
        <v>#DIV/0!</v>
      </c>
    </row>
    <row r="112" spans="1:25" ht="13.8">
      <c r="A112" s="122" t="s">
        <v>101</v>
      </c>
      <c r="B112" s="77">
        <f>AVERAGE(B64:B79)</f>
        <v>7351206752.5875006</v>
      </c>
      <c r="D112" s="77">
        <f t="shared" ref="D112:I112" si="28">AVERAGE(D64:D79)</f>
        <v>57311.337500000009</v>
      </c>
      <c r="E112" s="77">
        <f t="shared" si="28"/>
        <v>30981599156.25</v>
      </c>
      <c r="F112" s="77">
        <f t="shared" si="28"/>
        <v>0</v>
      </c>
      <c r="G112" s="77">
        <f t="shared" si="28"/>
        <v>0</v>
      </c>
      <c r="H112" s="77">
        <f t="shared" si="28"/>
        <v>0</v>
      </c>
      <c r="I112" s="77">
        <f t="shared" si="28"/>
        <v>-6567008958.125</v>
      </c>
      <c r="K112" s="77">
        <f t="shared" ref="K112:O112" si="29">AVERAGE(K64:K79)</f>
        <v>12.412256151279713</v>
      </c>
      <c r="L112" s="77" t="e">
        <f t="shared" si="29"/>
        <v>#DIV/0!</v>
      </c>
      <c r="M112" s="77" t="e">
        <f t="shared" si="29"/>
        <v>#DIV/0!</v>
      </c>
      <c r="N112" s="77" t="e">
        <f t="shared" si="29"/>
        <v>#DIV/0!</v>
      </c>
      <c r="O112" s="77" t="e">
        <f t="shared" si="29"/>
        <v>#DIV/0!</v>
      </c>
      <c r="P112" s="77">
        <f t="shared" ref="P112" si="30">AVERAGE(P64:P79)</f>
        <v>636.00559878172214</v>
      </c>
      <c r="Q112" s="190" t="s">
        <v>101</v>
      </c>
      <c r="R112" s="77">
        <f t="shared" ref="R112" si="31">AVERAGE(R64:R79)</f>
        <v>-24.242515548764612</v>
      </c>
      <c r="T112" s="77">
        <f t="shared" ref="T112:Y112" si="32">AVERAGE(T64:T79)</f>
        <v>9.9456149258484903E-5</v>
      </c>
      <c r="U112" s="77" t="e">
        <f t="shared" si="32"/>
        <v>#DIV/0!</v>
      </c>
      <c r="V112" s="77" t="e">
        <f t="shared" si="32"/>
        <v>#DIV/0!</v>
      </c>
      <c r="W112" s="77" t="e">
        <f t="shared" si="32"/>
        <v>#DIV/0!</v>
      </c>
      <c r="X112" s="77" t="e">
        <f t="shared" si="32"/>
        <v>#DIV/0!</v>
      </c>
      <c r="Y112" s="77" t="e">
        <f t="shared" si="32"/>
        <v>#DIV/0!</v>
      </c>
    </row>
    <row r="113" spans="1:25" ht="14.4" thickBot="1">
      <c r="A113" s="123" t="s">
        <v>263</v>
      </c>
      <c r="B113" s="93">
        <f>AVERAGE(B80:B103)</f>
        <v>41467563422.487503</v>
      </c>
      <c r="D113" s="93">
        <f t="shared" ref="D113:I113" si="33">AVERAGE(D80:D103)</f>
        <v>453901.65416666662</v>
      </c>
      <c r="E113" s="93">
        <f t="shared" si="33"/>
        <v>58729810350.416664</v>
      </c>
      <c r="F113" s="93">
        <f t="shared" si="33"/>
        <v>0</v>
      </c>
      <c r="G113" s="93">
        <f t="shared" si="33"/>
        <v>0</v>
      </c>
      <c r="H113" s="93">
        <f t="shared" si="33"/>
        <v>0</v>
      </c>
      <c r="I113" s="93">
        <f t="shared" si="33"/>
        <v>-17262700829.583332</v>
      </c>
      <c r="K113" s="93">
        <f t="shared" ref="K113:O113" si="34">AVERAGE(K80:K103)</f>
        <v>9.9619522623012617</v>
      </c>
      <c r="L113" s="93" t="e">
        <f t="shared" si="34"/>
        <v>#DIV/0!</v>
      </c>
      <c r="M113" s="93" t="e">
        <f t="shared" si="34"/>
        <v>#DIV/0!</v>
      </c>
      <c r="N113" s="93" t="e">
        <f t="shared" si="34"/>
        <v>#DIV/0!</v>
      </c>
      <c r="O113" s="93" t="e">
        <f t="shared" si="34"/>
        <v>#DIV/0!</v>
      </c>
      <c r="P113" s="93">
        <f t="shared" ref="P113" si="35">AVERAGE(P80:P103)</f>
        <v>41.424576642999263</v>
      </c>
      <c r="Q113" s="191" t="s">
        <v>263</v>
      </c>
      <c r="R113" s="93">
        <f t="shared" ref="R113" si="36">AVERAGE(R80:R103)</f>
        <v>21.412372151873651</v>
      </c>
      <c r="T113" s="93">
        <f t="shared" ref="T113:Y113" si="37">AVERAGE(T80:T103)</f>
        <v>1.1650084383765622E-4</v>
      </c>
      <c r="U113" s="93" t="e">
        <f t="shared" si="37"/>
        <v>#DIV/0!</v>
      </c>
      <c r="V113" s="93" t="e">
        <f t="shared" si="37"/>
        <v>#DIV/0!</v>
      </c>
      <c r="W113" s="93" t="e">
        <f t="shared" si="37"/>
        <v>#DIV/0!</v>
      </c>
      <c r="X113" s="93" t="e">
        <f t="shared" si="37"/>
        <v>#DIV/0!</v>
      </c>
      <c r="Y113" s="93">
        <f t="shared" si="37"/>
        <v>1.2496448794718831</v>
      </c>
    </row>
  </sheetData>
  <mergeCells count="5">
    <mergeCell ref="B3:F3"/>
    <mergeCell ref="D11:I11"/>
    <mergeCell ref="K11:P11"/>
    <mergeCell ref="T11:Y11"/>
    <mergeCell ref="A5:B5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3" tint="0.59999389629810485"/>
  </sheetPr>
  <dimension ref="A1:AZ84"/>
  <sheetViews>
    <sheetView zoomScaleNormal="100" workbookViewId="0">
      <pane ySplit="4" topLeftCell="A5" activePane="bottomLeft" state="frozen"/>
      <selection activeCell="J25" sqref="J25"/>
      <selection pane="bottomLeft" activeCell="A34" sqref="A34"/>
    </sheetView>
  </sheetViews>
  <sheetFormatPr defaultColWidth="9.109375" defaultRowHeight="14.4"/>
  <cols>
    <col min="1" max="16384" width="9.109375" style="1"/>
  </cols>
  <sheetData>
    <row r="1" spans="1:52" s="3" customFormat="1" ht="30.3" customHeight="1">
      <c r="A1" s="28"/>
      <c r="B1" s="29" t="s">
        <v>157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28"/>
      <c r="R1" s="30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</row>
    <row r="2" spans="1:52" s="3" customFormat="1" ht="25.2" customHeight="1" thickBot="1">
      <c r="A2" s="31"/>
      <c r="B2" s="32" t="s">
        <v>158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1"/>
      <c r="R2" s="33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</row>
    <row r="3" spans="1:52" s="4" customFormat="1" ht="23.25" customHeight="1">
      <c r="A3" s="34"/>
      <c r="B3" s="216" t="s">
        <v>204</v>
      </c>
      <c r="C3" s="216"/>
      <c r="D3" s="216"/>
      <c r="E3" s="216"/>
      <c r="F3" s="216"/>
      <c r="G3" s="216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</row>
    <row r="4" spans="1:52">
      <c r="B4" s="2"/>
    </row>
    <row r="5" spans="1:52">
      <c r="B5" s="2"/>
    </row>
    <row r="6" spans="1:52">
      <c r="B6" s="2"/>
    </row>
    <row r="7" spans="1:52">
      <c r="B7" s="2"/>
      <c r="P7" s="1" t="s">
        <v>128</v>
      </c>
    </row>
    <row r="8" spans="1:52">
      <c r="B8" s="2"/>
    </row>
    <row r="9" spans="1:52">
      <c r="B9" s="2"/>
    </row>
    <row r="10" spans="1:52">
      <c r="B10" s="2"/>
    </row>
    <row r="11" spans="1:52">
      <c r="B11" s="2"/>
    </row>
    <row r="12" spans="1:52">
      <c r="B12" s="2"/>
    </row>
    <row r="13" spans="1:52">
      <c r="B13" s="2"/>
    </row>
    <row r="14" spans="1:52">
      <c r="B14" s="2"/>
    </row>
    <row r="15" spans="1:52">
      <c r="C15" s="2"/>
    </row>
    <row r="16" spans="1:52">
      <c r="C16" s="2"/>
    </row>
    <row r="17" spans="3:3">
      <c r="C17" s="2"/>
    </row>
    <row r="18" spans="3:3">
      <c r="C18" s="2"/>
    </row>
    <row r="19" spans="3:3">
      <c r="C19" s="2"/>
    </row>
    <row r="20" spans="3:3">
      <c r="C20" s="2"/>
    </row>
    <row r="21" spans="3:3">
      <c r="C21" s="2"/>
    </row>
    <row r="22" spans="3:3">
      <c r="C22" s="2"/>
    </row>
    <row r="23" spans="3:3">
      <c r="C23" s="2"/>
    </row>
    <row r="24" spans="3:3">
      <c r="C24" s="2"/>
    </row>
    <row r="25" spans="3:3">
      <c r="C25" s="2"/>
    </row>
    <row r="26" spans="3:3">
      <c r="C26" s="2"/>
    </row>
    <row r="27" spans="3:3">
      <c r="C27" s="2"/>
    </row>
    <row r="28" spans="3:3">
      <c r="C28" s="2"/>
    </row>
    <row r="29" spans="3:3">
      <c r="C29" s="2"/>
    </row>
    <row r="30" spans="3:3">
      <c r="C30" s="2"/>
    </row>
    <row r="31" spans="3:3">
      <c r="C31" s="2"/>
    </row>
    <row r="32" spans="3:3">
      <c r="C32" s="2"/>
    </row>
    <row r="33" spans="3:4">
      <c r="C33" s="2"/>
    </row>
    <row r="34" spans="3:4">
      <c r="C34" s="2"/>
    </row>
    <row r="35" spans="3:4">
      <c r="C35" s="2"/>
    </row>
    <row r="36" spans="3:4">
      <c r="C36" s="2"/>
    </row>
    <row r="37" spans="3:4">
      <c r="C37" s="2"/>
    </row>
    <row r="38" spans="3:4">
      <c r="D38" s="2"/>
    </row>
    <row r="39" spans="3:4">
      <c r="D39" s="2"/>
    </row>
    <row r="40" spans="3:4">
      <c r="D40" s="2"/>
    </row>
    <row r="41" spans="3:4">
      <c r="D41" s="2"/>
    </row>
    <row r="42" spans="3:4">
      <c r="D42" s="2"/>
    </row>
    <row r="43" spans="3:4">
      <c r="D43" s="2"/>
    </row>
    <row r="44" spans="3:4">
      <c r="D44" s="2"/>
    </row>
    <row r="45" spans="3:4">
      <c r="D45" s="2"/>
    </row>
    <row r="46" spans="3:4">
      <c r="D46" s="2"/>
    </row>
    <row r="47" spans="3:4">
      <c r="D47" s="2"/>
    </row>
    <row r="48" spans="3:4">
      <c r="D48" s="2"/>
    </row>
    <row r="49" spans="4:5">
      <c r="D49" s="2"/>
    </row>
    <row r="50" spans="4:5">
      <c r="D50" s="2"/>
    </row>
    <row r="51" spans="4:5">
      <c r="D51" s="2"/>
    </row>
    <row r="52" spans="4:5">
      <c r="D52" s="2"/>
    </row>
    <row r="53" spans="4:5">
      <c r="D53" s="2"/>
    </row>
    <row r="54" spans="4:5">
      <c r="D54" s="2"/>
    </row>
    <row r="55" spans="4:5">
      <c r="D55" s="2"/>
    </row>
    <row r="56" spans="4:5">
      <c r="D56" s="2"/>
    </row>
    <row r="57" spans="4:5">
      <c r="D57" s="2"/>
    </row>
    <row r="58" spans="4:5">
      <c r="D58" s="2"/>
    </row>
    <row r="59" spans="4:5">
      <c r="D59" s="2"/>
    </row>
    <row r="60" spans="4:5">
      <c r="D60" s="2"/>
    </row>
    <row r="61" spans="4:5">
      <c r="E61" s="2"/>
    </row>
    <row r="62" spans="4:5">
      <c r="E62" s="2"/>
    </row>
    <row r="63" spans="4:5">
      <c r="E63" s="2"/>
    </row>
    <row r="64" spans="4:5">
      <c r="E64" s="2"/>
    </row>
    <row r="65" spans="1:36">
      <c r="E65" s="2"/>
    </row>
    <row r="66" spans="1:36">
      <c r="E66" s="2"/>
    </row>
    <row r="67" spans="1:36">
      <c r="E67" s="2"/>
    </row>
    <row r="68" spans="1:36">
      <c r="E68" s="2"/>
    </row>
    <row r="69" spans="1:36">
      <c r="E69" s="2"/>
    </row>
    <row r="70" spans="1:36">
      <c r="E70" s="2"/>
    </row>
    <row r="71" spans="1:36">
      <c r="A71" s="4"/>
      <c r="B71" s="4"/>
      <c r="C71" s="4"/>
      <c r="D71" s="4"/>
      <c r="E71" s="2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5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>
      <c r="A72" s="4"/>
      <c r="B72" s="4"/>
      <c r="C72" s="4"/>
      <c r="D72" s="4"/>
      <c r="E72" s="2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>
      <c r="A73" s="4"/>
      <c r="B73" s="5"/>
      <c r="C73" s="4"/>
      <c r="D73" s="4"/>
      <c r="E73" s="2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 ht="18">
      <c r="A74" s="4"/>
      <c r="B74" s="7"/>
      <c r="C74" s="5"/>
      <c r="D74" s="5"/>
      <c r="E74" s="6"/>
      <c r="F74" s="5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>
      <c r="A75" s="4"/>
      <c r="B75" s="4"/>
      <c r="C75" s="4"/>
      <c r="D75" s="4"/>
      <c r="E75" s="2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>
      <c r="A76" s="4"/>
      <c r="B76" s="4"/>
      <c r="C76" s="4"/>
      <c r="D76" s="4"/>
      <c r="E76" s="2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>
      <c r="A77" s="4"/>
      <c r="B77" s="4"/>
      <c r="C77" s="4"/>
      <c r="D77" s="4"/>
      <c r="E77" s="2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>
      <c r="A78" s="4"/>
      <c r="B78" s="4"/>
      <c r="C78" s="4"/>
      <c r="D78" s="4"/>
      <c r="E78" s="2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>
      <c r="A79" s="4"/>
      <c r="B79" s="4"/>
      <c r="C79" s="4"/>
      <c r="D79" s="4"/>
      <c r="E79" s="2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>
      <c r="A80" s="4"/>
      <c r="B80" s="4"/>
      <c r="C80" s="4"/>
      <c r="D80" s="4"/>
      <c r="E80" s="2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>
      <c r="A81" s="4"/>
      <c r="B81" s="4"/>
      <c r="C81" s="4"/>
      <c r="D81" s="4"/>
      <c r="E81" s="2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>
      <c r="A82" s="4"/>
      <c r="B82" s="4"/>
      <c r="C82" s="4"/>
      <c r="D82" s="4"/>
      <c r="E82" s="2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>
      <c r="A83" s="4"/>
      <c r="B83" s="4"/>
      <c r="C83" s="4"/>
      <c r="D83" s="4"/>
      <c r="E83" s="2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</sheetData>
  <mergeCells count="1">
    <mergeCell ref="B3:G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theme="5" tint="-0.249977111117893"/>
  </sheetPr>
  <dimension ref="A1:BH113"/>
  <sheetViews>
    <sheetView showGridLines="0" zoomScale="75" zoomScaleNormal="75" workbookViewId="0">
      <pane xSplit="1" ySplit="11" topLeftCell="B74" activePane="bottomRight" state="frozen"/>
      <selection activeCell="J25" sqref="J25"/>
      <selection pane="topRight" activeCell="J25" sqref="J25"/>
      <selection pane="bottomLeft" activeCell="J25" sqref="J25"/>
      <selection pane="bottomRight" activeCell="H101" sqref="H101"/>
    </sheetView>
  </sheetViews>
  <sheetFormatPr defaultColWidth="9" defaultRowHeight="13.8"/>
  <cols>
    <col min="1" max="1" width="14.109375" style="40" customWidth="1"/>
    <col min="2" max="2" width="20.88671875" style="40" customWidth="1"/>
    <col min="3" max="3" width="9.77734375" style="40" customWidth="1"/>
    <col min="4" max="4" width="26.44140625" style="40" customWidth="1"/>
    <col min="5" max="6" width="17" style="40" customWidth="1"/>
    <col min="7" max="7" width="19.88671875" style="40" customWidth="1"/>
    <col min="8" max="9" width="17.44140625" style="40" customWidth="1"/>
    <col min="10" max="10" width="9.88671875" style="40" customWidth="1"/>
    <col min="11" max="16" width="16.109375" style="40" customWidth="1"/>
    <col min="17" max="17" width="9.109375" style="40" customWidth="1"/>
    <col min="18" max="18" width="23.109375" style="40" customWidth="1"/>
    <col min="19" max="20" width="16.21875" style="40" customWidth="1"/>
    <col min="21" max="21" width="15.44140625" style="40" customWidth="1"/>
    <col min="22" max="23" width="13.88671875" style="40" customWidth="1"/>
    <col min="24" max="24" width="9" style="40"/>
    <col min="25" max="25" width="18.88671875" style="40" customWidth="1"/>
    <col min="26" max="31" width="19.44140625" style="40" customWidth="1"/>
    <col min="32" max="16384" width="9" style="40"/>
  </cols>
  <sheetData>
    <row r="1" spans="1:60" ht="30.3" customHeight="1">
      <c r="A1" s="37"/>
      <c r="B1" s="38" t="s">
        <v>157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7"/>
      <c r="W1" s="37"/>
      <c r="X1" s="39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</row>
    <row r="2" spans="1:60" ht="25.2" customHeight="1" thickBot="1">
      <c r="A2" s="41"/>
      <c r="B2" s="42" t="s">
        <v>158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1"/>
      <c r="W2" s="41"/>
      <c r="X2" s="43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</row>
    <row r="3" spans="1:60" s="51" customFormat="1" ht="23.25" customHeight="1">
      <c r="A3" s="44"/>
      <c r="B3" s="207" t="s">
        <v>245</v>
      </c>
      <c r="C3" s="207"/>
      <c r="D3" s="207"/>
      <c r="E3" s="207"/>
      <c r="F3" s="207"/>
      <c r="G3" s="207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</row>
    <row r="4" spans="1:60" s="51" customFormat="1" ht="4.8" customHeight="1"/>
    <row r="5" spans="1:60" s="51" customFormat="1"/>
    <row r="6" spans="1:60" s="51" customFormat="1"/>
    <row r="7" spans="1:60" s="51" customFormat="1"/>
    <row r="8" spans="1:60" s="51" customFormat="1" ht="14.4" thickBot="1"/>
    <row r="9" spans="1:60" s="51" customFormat="1" ht="14.4" thickBot="1">
      <c r="A9" s="48"/>
      <c r="B9" s="48"/>
      <c r="C9" s="48"/>
      <c r="D9" s="48"/>
      <c r="K9" s="137" t="s">
        <v>135</v>
      </c>
      <c r="L9" s="116" t="s">
        <v>146</v>
      </c>
      <c r="M9" s="116" t="s">
        <v>147</v>
      </c>
      <c r="N9" s="116" t="s">
        <v>148</v>
      </c>
      <c r="O9" s="116" t="s">
        <v>149</v>
      </c>
      <c r="P9" s="166" t="s">
        <v>150</v>
      </c>
      <c r="V9" s="167" t="s">
        <v>136</v>
      </c>
      <c r="Y9" s="167" t="s">
        <v>137</v>
      </c>
      <c r="Z9" s="106" t="s">
        <v>151</v>
      </c>
      <c r="AA9" s="106" t="s">
        <v>152</v>
      </c>
      <c r="AE9" s="168"/>
    </row>
    <row r="10" spans="1:60" s="51" customFormat="1" ht="22.65" customHeight="1" thickBot="1">
      <c r="A10" s="56"/>
      <c r="B10" s="57"/>
      <c r="C10" s="57"/>
      <c r="D10" s="209" t="s">
        <v>222</v>
      </c>
      <c r="E10" s="209"/>
      <c r="F10" s="209"/>
      <c r="G10" s="209"/>
      <c r="H10" s="209"/>
      <c r="I10" s="58"/>
      <c r="J10" s="57"/>
      <c r="K10" s="209" t="s">
        <v>223</v>
      </c>
      <c r="L10" s="209"/>
      <c r="M10" s="209"/>
      <c r="N10" s="209"/>
      <c r="O10" s="209"/>
      <c r="P10" s="58"/>
      <c r="Q10" s="57"/>
      <c r="R10" s="209" t="s">
        <v>241</v>
      </c>
      <c r="S10" s="209"/>
      <c r="T10" s="209"/>
      <c r="U10" s="209"/>
      <c r="V10" s="209"/>
      <c r="W10" s="58"/>
      <c r="X10" s="57"/>
      <c r="Y10" s="209" t="s">
        <v>242</v>
      </c>
      <c r="Z10" s="209"/>
      <c r="AA10" s="209"/>
      <c r="AB10" s="209"/>
      <c r="AC10" s="209"/>
      <c r="AD10" s="209"/>
      <c r="AE10" s="169"/>
    </row>
    <row r="11" spans="1:60" s="51" customFormat="1" ht="46.95" customHeight="1" thickBot="1">
      <c r="A11" s="60"/>
      <c r="B11" s="61" t="s">
        <v>163</v>
      </c>
      <c r="C11" s="61"/>
      <c r="D11" s="63" t="s">
        <v>164</v>
      </c>
      <c r="E11" s="63" t="s">
        <v>166</v>
      </c>
      <c r="F11" s="63" t="s">
        <v>196</v>
      </c>
      <c r="G11" s="63" t="s">
        <v>197</v>
      </c>
      <c r="H11" s="63" t="s">
        <v>168</v>
      </c>
      <c r="I11" s="63" t="s">
        <v>194</v>
      </c>
      <c r="J11" s="61"/>
      <c r="K11" s="63" t="s">
        <v>255</v>
      </c>
      <c r="L11" s="63" t="s">
        <v>166</v>
      </c>
      <c r="M11" s="63" t="s">
        <v>196</v>
      </c>
      <c r="N11" s="63" t="s">
        <v>197</v>
      </c>
      <c r="O11" s="63" t="s">
        <v>168</v>
      </c>
      <c r="P11" s="63" t="s">
        <v>194</v>
      </c>
      <c r="Q11" s="61"/>
      <c r="R11" s="61" t="s">
        <v>164</v>
      </c>
      <c r="S11" s="61" t="s">
        <v>166</v>
      </c>
      <c r="T11" s="61" t="s">
        <v>238</v>
      </c>
      <c r="U11" s="61" t="s">
        <v>197</v>
      </c>
      <c r="V11" s="61" t="s">
        <v>168</v>
      </c>
      <c r="W11" s="61" t="s">
        <v>194</v>
      </c>
      <c r="X11" s="61"/>
      <c r="Y11" s="61" t="s">
        <v>244</v>
      </c>
      <c r="Z11" s="61" t="s">
        <v>165</v>
      </c>
      <c r="AA11" s="61" t="s">
        <v>167</v>
      </c>
      <c r="AB11" s="61" t="s">
        <v>238</v>
      </c>
      <c r="AC11" s="61" t="s">
        <v>239</v>
      </c>
      <c r="AD11" s="61" t="s">
        <v>169</v>
      </c>
      <c r="AE11" s="62" t="s">
        <v>194</v>
      </c>
    </row>
    <row r="12" spans="1:60" ht="15.75" customHeight="1">
      <c r="A12" s="40" t="s">
        <v>0</v>
      </c>
      <c r="B12" s="170">
        <f>'1.Reel GSYH '!B9</f>
        <v>0</v>
      </c>
      <c r="D12" s="171">
        <f>'1.Reel GSYH '!D9</f>
        <v>0</v>
      </c>
      <c r="E12" s="73">
        <f>'1.Reel GSYH '!E9</f>
        <v>0</v>
      </c>
      <c r="F12" s="73">
        <f>'1.Reel GSYH '!F9</f>
        <v>0</v>
      </c>
      <c r="G12" s="73">
        <f>'1.Reel GSYH '!G9</f>
        <v>0</v>
      </c>
      <c r="H12" s="73">
        <f>'1.Reel GSYH '!H9</f>
        <v>0</v>
      </c>
      <c r="I12" s="172">
        <f>'1.Reel GSYH '!I9</f>
        <v>0</v>
      </c>
      <c r="J12" s="83"/>
      <c r="K12" s="173" t="e">
        <f>(D12/$B12)*100</f>
        <v>#DIV/0!</v>
      </c>
      <c r="L12" s="116" t="e">
        <f>E12/$B12*100</f>
        <v>#DIV/0!</v>
      </c>
      <c r="M12" s="116" t="e">
        <f>F12/$B12*100</f>
        <v>#DIV/0!</v>
      </c>
      <c r="N12" s="116" t="e">
        <f>G12/$B12*100</f>
        <v>#DIV/0!</v>
      </c>
      <c r="O12" s="116" t="e">
        <f>H12/$B12*100</f>
        <v>#DIV/0!</v>
      </c>
      <c r="P12" s="166" t="e">
        <f>I12/$B12*100</f>
        <v>#DIV/0!</v>
      </c>
      <c r="Q12" s="74"/>
      <c r="R12" s="81"/>
      <c r="S12" s="77"/>
      <c r="T12" s="77"/>
      <c r="U12" s="77"/>
      <c r="V12" s="77"/>
      <c r="W12" s="118"/>
      <c r="Y12" s="81"/>
      <c r="Z12" s="77"/>
      <c r="AA12" s="77"/>
      <c r="AB12" s="77"/>
      <c r="AC12" s="77"/>
      <c r="AD12" s="77"/>
      <c r="AE12" s="174"/>
    </row>
    <row r="13" spans="1:60" ht="15.75" customHeight="1">
      <c r="A13" s="40" t="s">
        <v>1</v>
      </c>
      <c r="B13" s="170">
        <f>'1.Reel GSYH '!B10</f>
        <v>0</v>
      </c>
      <c r="D13" s="175">
        <f>'1.Reel GSYH '!D10</f>
        <v>0</v>
      </c>
      <c r="E13" s="72">
        <f>'1.Reel GSYH '!E10</f>
        <v>0</v>
      </c>
      <c r="F13" s="72">
        <f>'1.Reel GSYH '!F10</f>
        <v>0</v>
      </c>
      <c r="G13" s="72">
        <f>'1.Reel GSYH '!G10</f>
        <v>0</v>
      </c>
      <c r="H13" s="72">
        <f>'1.Reel GSYH '!H10</f>
        <v>0</v>
      </c>
      <c r="I13" s="176">
        <f>'1.Reel GSYH '!I10</f>
        <v>0</v>
      </c>
      <c r="J13" s="83"/>
      <c r="K13" s="173" t="e">
        <f>(D13/B13)*100</f>
        <v>#DIV/0!</v>
      </c>
      <c r="L13" s="77" t="e">
        <f t="shared" ref="L13:M27" si="0">E13/$B13*100</f>
        <v>#DIV/0!</v>
      </c>
      <c r="M13" s="77" t="e">
        <f t="shared" si="0"/>
        <v>#DIV/0!</v>
      </c>
      <c r="N13" s="77" t="e">
        <f t="shared" ref="N13:N24" si="1">G13/$B13*100</f>
        <v>#DIV/0!</v>
      </c>
      <c r="O13" s="77" t="e">
        <f t="shared" ref="O13:P27" si="2">H13/$B13*100</f>
        <v>#DIV/0!</v>
      </c>
      <c r="P13" s="79" t="e">
        <f t="shared" si="2"/>
        <v>#DIV/0!</v>
      </c>
      <c r="Q13" s="74"/>
      <c r="R13" s="81"/>
      <c r="S13" s="77"/>
      <c r="T13" s="77"/>
      <c r="U13" s="77"/>
      <c r="V13" s="77"/>
      <c r="W13" s="77"/>
      <c r="Y13" s="81"/>
      <c r="Z13" s="77"/>
      <c r="AA13" s="77"/>
      <c r="AB13" s="77"/>
      <c r="AC13" s="77"/>
      <c r="AD13" s="77"/>
      <c r="AE13" s="80"/>
    </row>
    <row r="14" spans="1:60" ht="15.75" customHeight="1">
      <c r="A14" s="40" t="s">
        <v>2</v>
      </c>
      <c r="B14" s="170">
        <f>'1.Reel GSYH '!B11</f>
        <v>0</v>
      </c>
      <c r="D14" s="175">
        <f>'1.Reel GSYH '!D11</f>
        <v>0</v>
      </c>
      <c r="E14" s="72">
        <f>'1.Reel GSYH '!E11</f>
        <v>0</v>
      </c>
      <c r="F14" s="72">
        <f>'1.Reel GSYH '!F11</f>
        <v>0</v>
      </c>
      <c r="G14" s="72">
        <f>'1.Reel GSYH '!G11</f>
        <v>0</v>
      </c>
      <c r="H14" s="72">
        <f>'1.Reel GSYH '!H11</f>
        <v>0</v>
      </c>
      <c r="I14" s="176">
        <f>'1.Reel GSYH '!I11</f>
        <v>0</v>
      </c>
      <c r="J14" s="83"/>
      <c r="K14" s="173" t="e">
        <f t="shared" ref="K14:K77" si="3">(D14/B14)*100</f>
        <v>#DIV/0!</v>
      </c>
      <c r="L14" s="77" t="e">
        <f t="shared" si="0"/>
        <v>#DIV/0!</v>
      </c>
      <c r="M14" s="77" t="e">
        <f t="shared" si="0"/>
        <v>#DIV/0!</v>
      </c>
      <c r="N14" s="77" t="e">
        <f t="shared" si="1"/>
        <v>#DIV/0!</v>
      </c>
      <c r="O14" s="77" t="e">
        <f t="shared" si="2"/>
        <v>#DIV/0!</v>
      </c>
      <c r="P14" s="79" t="e">
        <f t="shared" si="2"/>
        <v>#DIV/0!</v>
      </c>
      <c r="Q14" s="74"/>
      <c r="R14" s="81"/>
      <c r="S14" s="77"/>
      <c r="T14" s="77"/>
      <c r="U14" s="77"/>
      <c r="V14" s="77"/>
      <c r="W14" s="77"/>
      <c r="Y14" s="81"/>
      <c r="Z14" s="77"/>
      <c r="AA14" s="77"/>
      <c r="AB14" s="77"/>
      <c r="AC14" s="77"/>
      <c r="AD14" s="77"/>
      <c r="AE14" s="80"/>
    </row>
    <row r="15" spans="1:60" ht="15.75" customHeight="1">
      <c r="A15" s="40" t="s">
        <v>3</v>
      </c>
      <c r="B15" s="170">
        <f>'1.Reel GSYH '!B12</f>
        <v>0</v>
      </c>
      <c r="D15" s="175">
        <f>'1.Reel GSYH '!D12</f>
        <v>0</v>
      </c>
      <c r="E15" s="72">
        <f>'1.Reel GSYH '!E12</f>
        <v>0</v>
      </c>
      <c r="F15" s="72">
        <f>'1.Reel GSYH '!F12</f>
        <v>0</v>
      </c>
      <c r="G15" s="72">
        <f>'1.Reel GSYH '!G12</f>
        <v>0</v>
      </c>
      <c r="H15" s="72">
        <f>'1.Reel GSYH '!H12</f>
        <v>0</v>
      </c>
      <c r="I15" s="176">
        <f>'1.Reel GSYH '!I12</f>
        <v>0</v>
      </c>
      <c r="J15" s="83"/>
      <c r="K15" s="173" t="e">
        <f t="shared" si="3"/>
        <v>#DIV/0!</v>
      </c>
      <c r="L15" s="77" t="e">
        <f t="shared" si="0"/>
        <v>#DIV/0!</v>
      </c>
      <c r="M15" s="77" t="e">
        <f t="shared" si="0"/>
        <v>#DIV/0!</v>
      </c>
      <c r="N15" s="77" t="e">
        <f t="shared" si="1"/>
        <v>#DIV/0!</v>
      </c>
      <c r="O15" s="77" t="e">
        <f t="shared" si="2"/>
        <v>#DIV/0!</v>
      </c>
      <c r="P15" s="79" t="e">
        <f t="shared" si="2"/>
        <v>#DIV/0!</v>
      </c>
      <c r="Q15" s="74"/>
      <c r="R15" s="81"/>
      <c r="S15" s="77"/>
      <c r="T15" s="77"/>
      <c r="U15" s="77"/>
      <c r="V15" s="77"/>
      <c r="W15" s="77"/>
      <c r="Y15" s="81"/>
      <c r="Z15" s="77"/>
      <c r="AA15" s="77"/>
      <c r="AB15" s="77"/>
      <c r="AC15" s="77"/>
      <c r="AD15" s="77"/>
      <c r="AE15" s="80"/>
    </row>
    <row r="16" spans="1:60" ht="15.75" customHeight="1">
      <c r="A16" s="40" t="s">
        <v>4</v>
      </c>
      <c r="B16" s="170">
        <f>'1.Reel GSYH '!B13</f>
        <v>0</v>
      </c>
      <c r="D16" s="175">
        <f>'1.Reel GSYH '!D13</f>
        <v>0</v>
      </c>
      <c r="E16" s="72">
        <f>'1.Reel GSYH '!E13</f>
        <v>0</v>
      </c>
      <c r="F16" s="72">
        <f>'1.Reel GSYH '!F13</f>
        <v>0</v>
      </c>
      <c r="G16" s="72">
        <f>'1.Reel GSYH '!G13</f>
        <v>0</v>
      </c>
      <c r="H16" s="72">
        <f>'1.Reel GSYH '!H13</f>
        <v>0</v>
      </c>
      <c r="I16" s="176">
        <f>'1.Reel GSYH '!I13</f>
        <v>0</v>
      </c>
      <c r="J16" s="83"/>
      <c r="K16" s="173" t="e">
        <f t="shared" si="3"/>
        <v>#DIV/0!</v>
      </c>
      <c r="L16" s="77" t="e">
        <f t="shared" si="0"/>
        <v>#DIV/0!</v>
      </c>
      <c r="M16" s="77" t="e">
        <f t="shared" si="0"/>
        <v>#DIV/0!</v>
      </c>
      <c r="N16" s="77" t="e">
        <f t="shared" si="1"/>
        <v>#DIV/0!</v>
      </c>
      <c r="O16" s="77" t="e">
        <f t="shared" si="2"/>
        <v>#DIV/0!</v>
      </c>
      <c r="P16" s="79" t="e">
        <f t="shared" si="2"/>
        <v>#DIV/0!</v>
      </c>
      <c r="Q16" s="74"/>
      <c r="R16" s="81" t="e">
        <f t="shared" ref="R16:R28" si="4">(D16/D12-1)*100</f>
        <v>#DIV/0!</v>
      </c>
      <c r="S16" s="77" t="e">
        <f t="shared" ref="S16:T31" si="5">(E16/E12-1)*100</f>
        <v>#DIV/0!</v>
      </c>
      <c r="T16" s="77" t="e">
        <f t="shared" si="5"/>
        <v>#DIV/0!</v>
      </c>
      <c r="U16" s="77" t="e">
        <f t="shared" ref="U16:U28" si="6">(G16/G12-1)*100</f>
        <v>#DIV/0!</v>
      </c>
      <c r="V16" s="78" t="e">
        <f>(H16/H12-1)*100</f>
        <v>#DIV/0!</v>
      </c>
      <c r="W16" s="77" t="e">
        <f t="shared" ref="W16:W31" si="7">(I16/I12-1)*100</f>
        <v>#DIV/0!</v>
      </c>
      <c r="Y16" s="152" t="e">
        <f>(B16/B12-1)*100</f>
        <v>#DIV/0!</v>
      </c>
      <c r="Z16" s="106" t="e">
        <f>((D16-D12)/$B12)*100</f>
        <v>#DIV/0!</v>
      </c>
      <c r="AA16" s="106" t="e">
        <f>((E16-E12)/$B12)*100</f>
        <v>#DIV/0!</v>
      </c>
      <c r="AB16" s="77" t="e">
        <f t="shared" ref="AB16:AB28" si="8">((F16-F12)/$B12)*100</f>
        <v>#DIV/0!</v>
      </c>
      <c r="AC16" s="77" t="e">
        <f t="shared" ref="AC16:AC28" si="9">((G16-G12)/$B12)*100</f>
        <v>#DIV/0!</v>
      </c>
      <c r="AD16" s="77" t="e">
        <f t="shared" ref="AD16:AE31" si="10">((H16-H12)/$B12)*100</f>
        <v>#DIV/0!</v>
      </c>
      <c r="AE16" s="80" t="e">
        <f t="shared" si="10"/>
        <v>#DIV/0!</v>
      </c>
    </row>
    <row r="17" spans="1:31" ht="15.75" customHeight="1">
      <c r="A17" s="40" t="s">
        <v>5</v>
      </c>
      <c r="B17" s="170">
        <f>'1.Reel GSYH '!B14</f>
        <v>0</v>
      </c>
      <c r="D17" s="175">
        <f>'1.Reel GSYH '!D14</f>
        <v>0</v>
      </c>
      <c r="E17" s="72">
        <f>'1.Reel GSYH '!E14</f>
        <v>0</v>
      </c>
      <c r="F17" s="72">
        <f>'1.Reel GSYH '!F14</f>
        <v>0</v>
      </c>
      <c r="G17" s="72">
        <f>'1.Reel GSYH '!G14</f>
        <v>0</v>
      </c>
      <c r="H17" s="72">
        <f>'1.Reel GSYH '!H14</f>
        <v>0</v>
      </c>
      <c r="I17" s="176">
        <f>'1.Reel GSYH '!I14</f>
        <v>0</v>
      </c>
      <c r="J17" s="83"/>
      <c r="K17" s="173" t="e">
        <f t="shared" si="3"/>
        <v>#DIV/0!</v>
      </c>
      <c r="L17" s="77" t="e">
        <f t="shared" si="0"/>
        <v>#DIV/0!</v>
      </c>
      <c r="M17" s="77" t="e">
        <f t="shared" si="0"/>
        <v>#DIV/0!</v>
      </c>
      <c r="N17" s="77" t="e">
        <f t="shared" si="1"/>
        <v>#DIV/0!</v>
      </c>
      <c r="O17" s="77" t="e">
        <f t="shared" si="2"/>
        <v>#DIV/0!</v>
      </c>
      <c r="P17" s="79" t="e">
        <f t="shared" si="2"/>
        <v>#DIV/0!</v>
      </c>
      <c r="Q17" s="74"/>
      <c r="R17" s="81" t="e">
        <f t="shared" si="4"/>
        <v>#DIV/0!</v>
      </c>
      <c r="S17" s="77" t="e">
        <f t="shared" si="5"/>
        <v>#DIV/0!</v>
      </c>
      <c r="T17" s="77" t="e">
        <f t="shared" si="5"/>
        <v>#DIV/0!</v>
      </c>
      <c r="U17" s="77" t="e">
        <f t="shared" si="6"/>
        <v>#DIV/0!</v>
      </c>
      <c r="V17" s="78" t="e">
        <f t="shared" ref="V17:V80" si="11">(H17/H13-1)*100</f>
        <v>#DIV/0!</v>
      </c>
      <c r="W17" s="77" t="e">
        <f t="shared" si="7"/>
        <v>#DIV/0!</v>
      </c>
      <c r="Y17" s="152" t="e">
        <f t="shared" ref="Y17:Y80" si="12">(B17/B13-1)*100</f>
        <v>#DIV/0!</v>
      </c>
      <c r="Z17" s="77" t="e">
        <f t="shared" ref="Z17:Z28" si="13">((D17-D13)/$B13)*100</f>
        <v>#DIV/0!</v>
      </c>
      <c r="AA17" s="77" t="e">
        <f t="shared" ref="AA17:AA28" si="14">((E17-E13)/$B13)*100</f>
        <v>#DIV/0!</v>
      </c>
      <c r="AB17" s="77" t="e">
        <f t="shared" si="8"/>
        <v>#DIV/0!</v>
      </c>
      <c r="AC17" s="77" t="e">
        <f t="shared" si="9"/>
        <v>#DIV/0!</v>
      </c>
      <c r="AD17" s="77" t="e">
        <f t="shared" si="10"/>
        <v>#DIV/0!</v>
      </c>
      <c r="AE17" s="80" t="e">
        <f t="shared" si="10"/>
        <v>#DIV/0!</v>
      </c>
    </row>
    <row r="18" spans="1:31" ht="15.75" customHeight="1">
      <c r="A18" s="40" t="s">
        <v>6</v>
      </c>
      <c r="B18" s="170">
        <f>'1.Reel GSYH '!B15</f>
        <v>0</v>
      </c>
      <c r="D18" s="175">
        <f>'1.Reel GSYH '!D15</f>
        <v>0</v>
      </c>
      <c r="E18" s="72">
        <f>'1.Reel GSYH '!E15</f>
        <v>0</v>
      </c>
      <c r="F18" s="72">
        <f>'1.Reel GSYH '!F15</f>
        <v>0</v>
      </c>
      <c r="G18" s="72">
        <f>'1.Reel GSYH '!G15</f>
        <v>0</v>
      </c>
      <c r="H18" s="72">
        <f>'1.Reel GSYH '!H15</f>
        <v>0</v>
      </c>
      <c r="I18" s="176">
        <f>'1.Reel GSYH '!I15</f>
        <v>0</v>
      </c>
      <c r="J18" s="83"/>
      <c r="K18" s="173" t="e">
        <f t="shared" si="3"/>
        <v>#DIV/0!</v>
      </c>
      <c r="L18" s="77" t="e">
        <f t="shared" si="0"/>
        <v>#DIV/0!</v>
      </c>
      <c r="M18" s="77" t="e">
        <f t="shared" si="0"/>
        <v>#DIV/0!</v>
      </c>
      <c r="N18" s="77" t="e">
        <f t="shared" si="1"/>
        <v>#DIV/0!</v>
      </c>
      <c r="O18" s="77" t="e">
        <f t="shared" si="2"/>
        <v>#DIV/0!</v>
      </c>
      <c r="P18" s="79" t="e">
        <f t="shared" si="2"/>
        <v>#DIV/0!</v>
      </c>
      <c r="Q18" s="74"/>
      <c r="R18" s="81" t="e">
        <f t="shared" si="4"/>
        <v>#DIV/0!</v>
      </c>
      <c r="S18" s="77" t="e">
        <f t="shared" si="5"/>
        <v>#DIV/0!</v>
      </c>
      <c r="T18" s="77" t="e">
        <f t="shared" si="5"/>
        <v>#DIV/0!</v>
      </c>
      <c r="U18" s="77" t="e">
        <f t="shared" si="6"/>
        <v>#DIV/0!</v>
      </c>
      <c r="V18" s="78" t="e">
        <f t="shared" si="11"/>
        <v>#DIV/0!</v>
      </c>
      <c r="W18" s="77" t="e">
        <f t="shared" si="7"/>
        <v>#DIV/0!</v>
      </c>
      <c r="Y18" s="152" t="e">
        <f t="shared" si="12"/>
        <v>#DIV/0!</v>
      </c>
      <c r="Z18" s="77" t="e">
        <f t="shared" si="13"/>
        <v>#DIV/0!</v>
      </c>
      <c r="AA18" s="77" t="e">
        <f t="shared" si="14"/>
        <v>#DIV/0!</v>
      </c>
      <c r="AB18" s="77" t="e">
        <f t="shared" si="8"/>
        <v>#DIV/0!</v>
      </c>
      <c r="AC18" s="77" t="e">
        <f t="shared" si="9"/>
        <v>#DIV/0!</v>
      </c>
      <c r="AD18" s="77" t="e">
        <f t="shared" si="10"/>
        <v>#DIV/0!</v>
      </c>
      <c r="AE18" s="80" t="e">
        <f t="shared" si="10"/>
        <v>#DIV/0!</v>
      </c>
    </row>
    <row r="19" spans="1:31" ht="15.75" customHeight="1">
      <c r="A19" s="40" t="s">
        <v>7</v>
      </c>
      <c r="B19" s="170">
        <f>'1.Reel GSYH '!B16</f>
        <v>0</v>
      </c>
      <c r="D19" s="175">
        <f>'1.Reel GSYH '!D16</f>
        <v>0</v>
      </c>
      <c r="E19" s="72">
        <f>'1.Reel GSYH '!E16</f>
        <v>0</v>
      </c>
      <c r="F19" s="72">
        <f>'1.Reel GSYH '!F16</f>
        <v>0</v>
      </c>
      <c r="G19" s="72">
        <f>'1.Reel GSYH '!G16</f>
        <v>0</v>
      </c>
      <c r="H19" s="72">
        <f>'1.Reel GSYH '!H16</f>
        <v>0</v>
      </c>
      <c r="I19" s="176">
        <f>'1.Reel GSYH '!I16</f>
        <v>0</v>
      </c>
      <c r="J19" s="83"/>
      <c r="K19" s="173" t="e">
        <f t="shared" si="3"/>
        <v>#DIV/0!</v>
      </c>
      <c r="L19" s="77" t="e">
        <f t="shared" si="0"/>
        <v>#DIV/0!</v>
      </c>
      <c r="M19" s="77" t="e">
        <f t="shared" si="0"/>
        <v>#DIV/0!</v>
      </c>
      <c r="N19" s="77" t="e">
        <f t="shared" si="1"/>
        <v>#DIV/0!</v>
      </c>
      <c r="O19" s="77" t="e">
        <f t="shared" si="2"/>
        <v>#DIV/0!</v>
      </c>
      <c r="P19" s="79" t="e">
        <f t="shared" si="2"/>
        <v>#DIV/0!</v>
      </c>
      <c r="Q19" s="74"/>
      <c r="R19" s="81" t="e">
        <f t="shared" si="4"/>
        <v>#DIV/0!</v>
      </c>
      <c r="S19" s="77" t="e">
        <f t="shared" si="5"/>
        <v>#DIV/0!</v>
      </c>
      <c r="T19" s="77" t="e">
        <f t="shared" si="5"/>
        <v>#DIV/0!</v>
      </c>
      <c r="U19" s="77" t="e">
        <f t="shared" si="6"/>
        <v>#DIV/0!</v>
      </c>
      <c r="V19" s="78" t="e">
        <f t="shared" si="11"/>
        <v>#DIV/0!</v>
      </c>
      <c r="W19" s="77" t="e">
        <f t="shared" si="7"/>
        <v>#DIV/0!</v>
      </c>
      <c r="Y19" s="152" t="e">
        <f t="shared" si="12"/>
        <v>#DIV/0!</v>
      </c>
      <c r="Z19" s="77" t="e">
        <f t="shared" si="13"/>
        <v>#DIV/0!</v>
      </c>
      <c r="AA19" s="77" t="e">
        <f t="shared" si="14"/>
        <v>#DIV/0!</v>
      </c>
      <c r="AB19" s="77" t="e">
        <f t="shared" si="8"/>
        <v>#DIV/0!</v>
      </c>
      <c r="AC19" s="77" t="e">
        <f t="shared" si="9"/>
        <v>#DIV/0!</v>
      </c>
      <c r="AD19" s="77" t="e">
        <f t="shared" si="10"/>
        <v>#DIV/0!</v>
      </c>
      <c r="AE19" s="80" t="e">
        <f t="shared" si="10"/>
        <v>#DIV/0!</v>
      </c>
    </row>
    <row r="20" spans="1:31" ht="15.75" customHeight="1">
      <c r="A20" s="40" t="s">
        <v>8</v>
      </c>
      <c r="B20" s="170">
        <f>'1.Reel GSYH '!B17</f>
        <v>0</v>
      </c>
      <c r="D20" s="175">
        <f>'1.Reel GSYH '!D17</f>
        <v>0</v>
      </c>
      <c r="E20" s="72">
        <f>'1.Reel GSYH '!E17</f>
        <v>0</v>
      </c>
      <c r="F20" s="72">
        <f>'1.Reel GSYH '!F17</f>
        <v>0</v>
      </c>
      <c r="G20" s="72">
        <f>'1.Reel GSYH '!G17</f>
        <v>0</v>
      </c>
      <c r="H20" s="72">
        <f>'1.Reel GSYH '!H17</f>
        <v>0</v>
      </c>
      <c r="I20" s="176">
        <f>'1.Reel GSYH '!I17</f>
        <v>0</v>
      </c>
      <c r="J20" s="83"/>
      <c r="K20" s="173" t="e">
        <f t="shared" si="3"/>
        <v>#DIV/0!</v>
      </c>
      <c r="L20" s="77" t="e">
        <f t="shared" si="0"/>
        <v>#DIV/0!</v>
      </c>
      <c r="M20" s="77" t="e">
        <f t="shared" si="0"/>
        <v>#DIV/0!</v>
      </c>
      <c r="N20" s="77" t="e">
        <f t="shared" si="1"/>
        <v>#DIV/0!</v>
      </c>
      <c r="O20" s="77" t="e">
        <f t="shared" si="2"/>
        <v>#DIV/0!</v>
      </c>
      <c r="P20" s="79" t="e">
        <f t="shared" si="2"/>
        <v>#DIV/0!</v>
      </c>
      <c r="Q20" s="74"/>
      <c r="R20" s="81" t="e">
        <f t="shared" si="4"/>
        <v>#DIV/0!</v>
      </c>
      <c r="S20" s="77" t="e">
        <f t="shared" si="5"/>
        <v>#DIV/0!</v>
      </c>
      <c r="T20" s="77" t="e">
        <f t="shared" si="5"/>
        <v>#DIV/0!</v>
      </c>
      <c r="U20" s="77" t="e">
        <f t="shared" si="6"/>
        <v>#DIV/0!</v>
      </c>
      <c r="V20" s="78" t="e">
        <f t="shared" si="11"/>
        <v>#DIV/0!</v>
      </c>
      <c r="W20" s="77" t="e">
        <f t="shared" si="7"/>
        <v>#DIV/0!</v>
      </c>
      <c r="Y20" s="152" t="e">
        <f t="shared" si="12"/>
        <v>#DIV/0!</v>
      </c>
      <c r="Z20" s="77" t="e">
        <f t="shared" si="13"/>
        <v>#DIV/0!</v>
      </c>
      <c r="AA20" s="77" t="e">
        <f t="shared" si="14"/>
        <v>#DIV/0!</v>
      </c>
      <c r="AB20" s="77" t="e">
        <f t="shared" si="8"/>
        <v>#DIV/0!</v>
      </c>
      <c r="AC20" s="77" t="e">
        <f t="shared" si="9"/>
        <v>#DIV/0!</v>
      </c>
      <c r="AD20" s="77" t="e">
        <f t="shared" si="10"/>
        <v>#DIV/0!</v>
      </c>
      <c r="AE20" s="80" t="e">
        <f t="shared" si="10"/>
        <v>#DIV/0!</v>
      </c>
    </row>
    <row r="21" spans="1:31" ht="15.75" customHeight="1">
      <c r="A21" s="40" t="s">
        <v>9</v>
      </c>
      <c r="B21" s="170">
        <f>'1.Reel GSYH '!B18</f>
        <v>0</v>
      </c>
      <c r="D21" s="175">
        <f>'1.Reel GSYH '!D18</f>
        <v>0</v>
      </c>
      <c r="E21" s="72">
        <f>'1.Reel GSYH '!E18</f>
        <v>0</v>
      </c>
      <c r="F21" s="72">
        <f>'1.Reel GSYH '!F18</f>
        <v>0</v>
      </c>
      <c r="G21" s="72">
        <f>'1.Reel GSYH '!G18</f>
        <v>0</v>
      </c>
      <c r="H21" s="72">
        <f>'1.Reel GSYH '!H18</f>
        <v>0</v>
      </c>
      <c r="I21" s="176">
        <f>'1.Reel GSYH '!I18</f>
        <v>0</v>
      </c>
      <c r="J21" s="83"/>
      <c r="K21" s="173" t="e">
        <f t="shared" si="3"/>
        <v>#DIV/0!</v>
      </c>
      <c r="L21" s="77" t="e">
        <f t="shared" si="0"/>
        <v>#DIV/0!</v>
      </c>
      <c r="M21" s="77" t="e">
        <f t="shared" si="0"/>
        <v>#DIV/0!</v>
      </c>
      <c r="N21" s="77" t="e">
        <f t="shared" si="1"/>
        <v>#DIV/0!</v>
      </c>
      <c r="O21" s="77" t="e">
        <f t="shared" si="2"/>
        <v>#DIV/0!</v>
      </c>
      <c r="P21" s="79" t="e">
        <f t="shared" si="2"/>
        <v>#DIV/0!</v>
      </c>
      <c r="Q21" s="74"/>
      <c r="R21" s="81" t="e">
        <f t="shared" si="4"/>
        <v>#DIV/0!</v>
      </c>
      <c r="S21" s="77" t="e">
        <f t="shared" si="5"/>
        <v>#DIV/0!</v>
      </c>
      <c r="T21" s="77" t="e">
        <f t="shared" si="5"/>
        <v>#DIV/0!</v>
      </c>
      <c r="U21" s="77" t="e">
        <f t="shared" si="6"/>
        <v>#DIV/0!</v>
      </c>
      <c r="V21" s="78" t="e">
        <f t="shared" si="11"/>
        <v>#DIV/0!</v>
      </c>
      <c r="W21" s="77" t="e">
        <f t="shared" si="7"/>
        <v>#DIV/0!</v>
      </c>
      <c r="Y21" s="152" t="e">
        <f t="shared" si="12"/>
        <v>#DIV/0!</v>
      </c>
      <c r="Z21" s="77" t="e">
        <f t="shared" si="13"/>
        <v>#DIV/0!</v>
      </c>
      <c r="AA21" s="77" t="e">
        <f t="shared" si="14"/>
        <v>#DIV/0!</v>
      </c>
      <c r="AB21" s="77" t="e">
        <f t="shared" si="8"/>
        <v>#DIV/0!</v>
      </c>
      <c r="AC21" s="77" t="e">
        <f t="shared" si="9"/>
        <v>#DIV/0!</v>
      </c>
      <c r="AD21" s="77" t="e">
        <f t="shared" si="10"/>
        <v>#DIV/0!</v>
      </c>
      <c r="AE21" s="80" t="e">
        <f t="shared" si="10"/>
        <v>#DIV/0!</v>
      </c>
    </row>
    <row r="22" spans="1:31" ht="15.75" customHeight="1">
      <c r="A22" s="40" t="s">
        <v>10</v>
      </c>
      <c r="B22" s="170">
        <f>'1.Reel GSYH '!B19</f>
        <v>0</v>
      </c>
      <c r="D22" s="175">
        <f>'1.Reel GSYH '!D19</f>
        <v>0</v>
      </c>
      <c r="E22" s="72">
        <f>'1.Reel GSYH '!E19</f>
        <v>0</v>
      </c>
      <c r="F22" s="72">
        <f>'1.Reel GSYH '!F19</f>
        <v>0</v>
      </c>
      <c r="G22" s="72">
        <f>'1.Reel GSYH '!G19</f>
        <v>0</v>
      </c>
      <c r="H22" s="72">
        <f>'1.Reel GSYH '!H19</f>
        <v>0</v>
      </c>
      <c r="I22" s="176">
        <f>'1.Reel GSYH '!I19</f>
        <v>0</v>
      </c>
      <c r="J22" s="83"/>
      <c r="K22" s="173" t="e">
        <f t="shared" si="3"/>
        <v>#DIV/0!</v>
      </c>
      <c r="L22" s="77" t="e">
        <f t="shared" si="0"/>
        <v>#DIV/0!</v>
      </c>
      <c r="M22" s="77" t="e">
        <f t="shared" si="0"/>
        <v>#DIV/0!</v>
      </c>
      <c r="N22" s="77" t="e">
        <f t="shared" si="1"/>
        <v>#DIV/0!</v>
      </c>
      <c r="O22" s="77" t="e">
        <f t="shared" si="2"/>
        <v>#DIV/0!</v>
      </c>
      <c r="P22" s="79" t="e">
        <f t="shared" si="2"/>
        <v>#DIV/0!</v>
      </c>
      <c r="Q22" s="74"/>
      <c r="R22" s="81" t="e">
        <f t="shared" si="4"/>
        <v>#DIV/0!</v>
      </c>
      <c r="S22" s="77" t="e">
        <f t="shared" si="5"/>
        <v>#DIV/0!</v>
      </c>
      <c r="T22" s="77" t="e">
        <f t="shared" si="5"/>
        <v>#DIV/0!</v>
      </c>
      <c r="U22" s="77" t="e">
        <f t="shared" si="6"/>
        <v>#DIV/0!</v>
      </c>
      <c r="V22" s="78" t="e">
        <f t="shared" si="11"/>
        <v>#DIV/0!</v>
      </c>
      <c r="W22" s="77" t="e">
        <f t="shared" si="7"/>
        <v>#DIV/0!</v>
      </c>
      <c r="Y22" s="152" t="e">
        <f t="shared" si="12"/>
        <v>#DIV/0!</v>
      </c>
      <c r="Z22" s="77" t="e">
        <f t="shared" si="13"/>
        <v>#DIV/0!</v>
      </c>
      <c r="AA22" s="77" t="e">
        <f t="shared" si="14"/>
        <v>#DIV/0!</v>
      </c>
      <c r="AB22" s="77" t="e">
        <f t="shared" si="8"/>
        <v>#DIV/0!</v>
      </c>
      <c r="AC22" s="77" t="e">
        <f t="shared" si="9"/>
        <v>#DIV/0!</v>
      </c>
      <c r="AD22" s="77" t="e">
        <f t="shared" si="10"/>
        <v>#DIV/0!</v>
      </c>
      <c r="AE22" s="80" t="e">
        <f t="shared" si="10"/>
        <v>#DIV/0!</v>
      </c>
    </row>
    <row r="23" spans="1:31" ht="15.75" customHeight="1">
      <c r="A23" s="40" t="s">
        <v>11</v>
      </c>
      <c r="B23" s="170">
        <f>'1.Reel GSYH '!B20</f>
        <v>0</v>
      </c>
      <c r="D23" s="175">
        <f>'1.Reel GSYH '!D20</f>
        <v>0</v>
      </c>
      <c r="E23" s="72">
        <f>'1.Reel GSYH '!E20</f>
        <v>0</v>
      </c>
      <c r="F23" s="72">
        <f>'1.Reel GSYH '!F20</f>
        <v>0</v>
      </c>
      <c r="G23" s="72">
        <f>'1.Reel GSYH '!G20</f>
        <v>0</v>
      </c>
      <c r="H23" s="72">
        <f>'1.Reel GSYH '!H20</f>
        <v>0</v>
      </c>
      <c r="I23" s="176">
        <f>'1.Reel GSYH '!I20</f>
        <v>0</v>
      </c>
      <c r="J23" s="83"/>
      <c r="K23" s="173" t="e">
        <f t="shared" si="3"/>
        <v>#DIV/0!</v>
      </c>
      <c r="L23" s="77" t="e">
        <f t="shared" si="0"/>
        <v>#DIV/0!</v>
      </c>
      <c r="M23" s="77" t="e">
        <f t="shared" si="0"/>
        <v>#DIV/0!</v>
      </c>
      <c r="N23" s="77" t="e">
        <f t="shared" si="1"/>
        <v>#DIV/0!</v>
      </c>
      <c r="O23" s="77" t="e">
        <f t="shared" si="2"/>
        <v>#DIV/0!</v>
      </c>
      <c r="P23" s="79" t="e">
        <f t="shared" si="2"/>
        <v>#DIV/0!</v>
      </c>
      <c r="Q23" s="74"/>
      <c r="R23" s="81" t="e">
        <f t="shared" si="4"/>
        <v>#DIV/0!</v>
      </c>
      <c r="S23" s="77" t="e">
        <f t="shared" si="5"/>
        <v>#DIV/0!</v>
      </c>
      <c r="T23" s="77" t="e">
        <f t="shared" si="5"/>
        <v>#DIV/0!</v>
      </c>
      <c r="U23" s="77" t="e">
        <f t="shared" si="6"/>
        <v>#DIV/0!</v>
      </c>
      <c r="V23" s="78" t="e">
        <f t="shared" si="11"/>
        <v>#DIV/0!</v>
      </c>
      <c r="W23" s="77" t="e">
        <f>(I23/I19-1)*100</f>
        <v>#DIV/0!</v>
      </c>
      <c r="Y23" s="152" t="e">
        <f t="shared" si="12"/>
        <v>#DIV/0!</v>
      </c>
      <c r="Z23" s="77" t="e">
        <f t="shared" si="13"/>
        <v>#DIV/0!</v>
      </c>
      <c r="AA23" s="77" t="e">
        <f t="shared" si="14"/>
        <v>#DIV/0!</v>
      </c>
      <c r="AB23" s="77" t="e">
        <f t="shared" si="8"/>
        <v>#DIV/0!</v>
      </c>
      <c r="AC23" s="77" t="e">
        <f t="shared" si="9"/>
        <v>#DIV/0!</v>
      </c>
      <c r="AD23" s="77" t="e">
        <f t="shared" si="10"/>
        <v>#DIV/0!</v>
      </c>
      <c r="AE23" s="80" t="e">
        <f t="shared" si="10"/>
        <v>#DIV/0!</v>
      </c>
    </row>
    <row r="24" spans="1:31" ht="15.75" customHeight="1">
      <c r="A24" s="40" t="s">
        <v>12</v>
      </c>
      <c r="B24" s="170">
        <f>'1.Reel GSYH '!B21</f>
        <v>0</v>
      </c>
      <c r="D24" s="175">
        <f>'1.Reel GSYH '!D21</f>
        <v>0</v>
      </c>
      <c r="E24" s="72">
        <f>'1.Reel GSYH '!E21</f>
        <v>0</v>
      </c>
      <c r="F24" s="72">
        <f>'1.Reel GSYH '!F21</f>
        <v>0</v>
      </c>
      <c r="G24" s="72">
        <f>'1.Reel GSYH '!G21</f>
        <v>0</v>
      </c>
      <c r="H24" s="72">
        <f>'1.Reel GSYH '!H21</f>
        <v>0</v>
      </c>
      <c r="I24" s="176">
        <f>'1.Reel GSYH '!I21</f>
        <v>0</v>
      </c>
      <c r="J24" s="83"/>
      <c r="K24" s="173" t="e">
        <f t="shared" si="3"/>
        <v>#DIV/0!</v>
      </c>
      <c r="L24" s="77" t="e">
        <f t="shared" si="0"/>
        <v>#DIV/0!</v>
      </c>
      <c r="M24" s="77" t="e">
        <f t="shared" si="0"/>
        <v>#DIV/0!</v>
      </c>
      <c r="N24" s="77" t="e">
        <f t="shared" si="1"/>
        <v>#DIV/0!</v>
      </c>
      <c r="O24" s="77" t="e">
        <f t="shared" si="2"/>
        <v>#DIV/0!</v>
      </c>
      <c r="P24" s="79" t="e">
        <f t="shared" si="2"/>
        <v>#DIV/0!</v>
      </c>
      <c r="Q24" s="74"/>
      <c r="R24" s="81" t="e">
        <f t="shared" si="4"/>
        <v>#DIV/0!</v>
      </c>
      <c r="S24" s="77" t="e">
        <f t="shared" si="5"/>
        <v>#DIV/0!</v>
      </c>
      <c r="T24" s="77" t="e">
        <f t="shared" si="5"/>
        <v>#DIV/0!</v>
      </c>
      <c r="U24" s="77" t="e">
        <f t="shared" si="6"/>
        <v>#DIV/0!</v>
      </c>
      <c r="V24" s="78" t="e">
        <f t="shared" si="11"/>
        <v>#DIV/0!</v>
      </c>
      <c r="W24" s="77" t="e">
        <f t="shared" si="7"/>
        <v>#DIV/0!</v>
      </c>
      <c r="Y24" s="152" t="e">
        <f t="shared" si="12"/>
        <v>#DIV/0!</v>
      </c>
      <c r="Z24" s="77" t="e">
        <f t="shared" si="13"/>
        <v>#DIV/0!</v>
      </c>
      <c r="AA24" s="77" t="e">
        <f t="shared" si="14"/>
        <v>#DIV/0!</v>
      </c>
      <c r="AB24" s="77" t="e">
        <f t="shared" si="8"/>
        <v>#DIV/0!</v>
      </c>
      <c r="AC24" s="77" t="e">
        <f t="shared" si="9"/>
        <v>#DIV/0!</v>
      </c>
      <c r="AD24" s="77" t="e">
        <f t="shared" si="10"/>
        <v>#DIV/0!</v>
      </c>
      <c r="AE24" s="80" t="e">
        <f t="shared" si="10"/>
        <v>#DIV/0!</v>
      </c>
    </row>
    <row r="25" spans="1:31" ht="15.75" customHeight="1">
      <c r="A25" s="40" t="s">
        <v>13</v>
      </c>
      <c r="B25" s="170">
        <f>'1.Reel GSYH '!B22</f>
        <v>0</v>
      </c>
      <c r="D25" s="175">
        <f>'1.Reel GSYH '!D22</f>
        <v>0</v>
      </c>
      <c r="E25" s="72">
        <f>'1.Reel GSYH '!E22</f>
        <v>0</v>
      </c>
      <c r="F25" s="72">
        <f>'1.Reel GSYH '!F22</f>
        <v>0</v>
      </c>
      <c r="G25" s="72">
        <f>'1.Reel GSYH '!G22</f>
        <v>0</v>
      </c>
      <c r="H25" s="72">
        <f>'1.Reel GSYH '!H22</f>
        <v>0</v>
      </c>
      <c r="I25" s="176">
        <f>'1.Reel GSYH '!I22</f>
        <v>0</v>
      </c>
      <c r="J25" s="83"/>
      <c r="K25" s="173" t="e">
        <f t="shared" si="3"/>
        <v>#DIV/0!</v>
      </c>
      <c r="L25" s="77" t="e">
        <f t="shared" ref="L25:M88" si="15">E25/$B25*100</f>
        <v>#DIV/0!</v>
      </c>
      <c r="M25" s="77" t="e">
        <f t="shared" si="0"/>
        <v>#DIV/0!</v>
      </c>
      <c r="N25" s="77" t="e">
        <f t="shared" ref="N25:N88" si="16">G25/$B25*100</f>
        <v>#DIV/0!</v>
      </c>
      <c r="O25" s="77" t="e">
        <f t="shared" ref="O25:P88" si="17">H25/$B25*100</f>
        <v>#DIV/0!</v>
      </c>
      <c r="P25" s="79" t="e">
        <f t="shared" si="2"/>
        <v>#DIV/0!</v>
      </c>
      <c r="Q25" s="74"/>
      <c r="R25" s="81" t="e">
        <f t="shared" si="4"/>
        <v>#DIV/0!</v>
      </c>
      <c r="S25" s="77" t="e">
        <f t="shared" si="5"/>
        <v>#DIV/0!</v>
      </c>
      <c r="T25" s="77" t="e">
        <f t="shared" si="5"/>
        <v>#DIV/0!</v>
      </c>
      <c r="U25" s="77" t="e">
        <f t="shared" si="6"/>
        <v>#DIV/0!</v>
      </c>
      <c r="V25" s="78" t="e">
        <f t="shared" si="11"/>
        <v>#DIV/0!</v>
      </c>
      <c r="W25" s="77" t="e">
        <f t="shared" si="7"/>
        <v>#DIV/0!</v>
      </c>
      <c r="Y25" s="152" t="e">
        <f t="shared" si="12"/>
        <v>#DIV/0!</v>
      </c>
      <c r="Z25" s="77" t="e">
        <f t="shared" si="13"/>
        <v>#DIV/0!</v>
      </c>
      <c r="AA25" s="77" t="e">
        <f t="shared" si="14"/>
        <v>#DIV/0!</v>
      </c>
      <c r="AB25" s="77" t="e">
        <f t="shared" si="8"/>
        <v>#DIV/0!</v>
      </c>
      <c r="AC25" s="77" t="e">
        <f t="shared" si="9"/>
        <v>#DIV/0!</v>
      </c>
      <c r="AD25" s="77" t="e">
        <f t="shared" si="10"/>
        <v>#DIV/0!</v>
      </c>
      <c r="AE25" s="80" t="e">
        <f t="shared" si="10"/>
        <v>#DIV/0!</v>
      </c>
    </row>
    <row r="26" spans="1:31" ht="15.75" customHeight="1">
      <c r="A26" s="40" t="s">
        <v>14</v>
      </c>
      <c r="B26" s="170">
        <f>'1.Reel GSYH '!B23</f>
        <v>0</v>
      </c>
      <c r="D26" s="175">
        <f>'1.Reel GSYH '!D23</f>
        <v>0</v>
      </c>
      <c r="E26" s="72">
        <f>'1.Reel GSYH '!E23</f>
        <v>0</v>
      </c>
      <c r="F26" s="72">
        <f>'1.Reel GSYH '!F23</f>
        <v>0</v>
      </c>
      <c r="G26" s="72">
        <f>'1.Reel GSYH '!G23</f>
        <v>0</v>
      </c>
      <c r="H26" s="72">
        <f>'1.Reel GSYH '!H23</f>
        <v>0</v>
      </c>
      <c r="I26" s="176">
        <f>'1.Reel GSYH '!I23</f>
        <v>0</v>
      </c>
      <c r="J26" s="83"/>
      <c r="K26" s="173" t="e">
        <f t="shared" si="3"/>
        <v>#DIV/0!</v>
      </c>
      <c r="L26" s="77" t="e">
        <f t="shared" si="15"/>
        <v>#DIV/0!</v>
      </c>
      <c r="M26" s="77" t="e">
        <f t="shared" si="0"/>
        <v>#DIV/0!</v>
      </c>
      <c r="N26" s="77" t="e">
        <f t="shared" si="16"/>
        <v>#DIV/0!</v>
      </c>
      <c r="O26" s="77" t="e">
        <f t="shared" si="17"/>
        <v>#DIV/0!</v>
      </c>
      <c r="P26" s="79" t="e">
        <f t="shared" si="2"/>
        <v>#DIV/0!</v>
      </c>
      <c r="Q26" s="74"/>
      <c r="R26" s="81" t="e">
        <f t="shared" si="4"/>
        <v>#DIV/0!</v>
      </c>
      <c r="S26" s="77" t="e">
        <f t="shared" si="5"/>
        <v>#DIV/0!</v>
      </c>
      <c r="T26" s="77" t="e">
        <f t="shared" si="5"/>
        <v>#DIV/0!</v>
      </c>
      <c r="U26" s="77" t="e">
        <f t="shared" si="6"/>
        <v>#DIV/0!</v>
      </c>
      <c r="V26" s="78" t="e">
        <f t="shared" si="11"/>
        <v>#DIV/0!</v>
      </c>
      <c r="W26" s="77" t="e">
        <f t="shared" si="7"/>
        <v>#DIV/0!</v>
      </c>
      <c r="Y26" s="152" t="e">
        <f t="shared" si="12"/>
        <v>#DIV/0!</v>
      </c>
      <c r="Z26" s="77" t="e">
        <f t="shared" si="13"/>
        <v>#DIV/0!</v>
      </c>
      <c r="AA26" s="77" t="e">
        <f t="shared" si="14"/>
        <v>#DIV/0!</v>
      </c>
      <c r="AB26" s="77" t="e">
        <f t="shared" si="8"/>
        <v>#DIV/0!</v>
      </c>
      <c r="AC26" s="77" t="e">
        <f t="shared" si="9"/>
        <v>#DIV/0!</v>
      </c>
      <c r="AD26" s="77" t="e">
        <f t="shared" si="10"/>
        <v>#DIV/0!</v>
      </c>
      <c r="AE26" s="80" t="e">
        <f t="shared" si="10"/>
        <v>#DIV/0!</v>
      </c>
    </row>
    <row r="27" spans="1:31" ht="15.75" customHeight="1">
      <c r="A27" s="40" t="s">
        <v>15</v>
      </c>
      <c r="B27" s="170">
        <f>'1.Reel GSYH '!B24</f>
        <v>0</v>
      </c>
      <c r="D27" s="175">
        <f>'1.Reel GSYH '!D24</f>
        <v>0</v>
      </c>
      <c r="E27" s="72">
        <f>'1.Reel GSYH '!E24</f>
        <v>0</v>
      </c>
      <c r="F27" s="72">
        <f>'1.Reel GSYH '!F24</f>
        <v>0</v>
      </c>
      <c r="G27" s="72">
        <f>'1.Reel GSYH '!G24</f>
        <v>0</v>
      </c>
      <c r="H27" s="72">
        <f>'1.Reel GSYH '!H24</f>
        <v>0</v>
      </c>
      <c r="I27" s="176">
        <f>'1.Reel GSYH '!I24</f>
        <v>0</v>
      </c>
      <c r="J27" s="83"/>
      <c r="K27" s="173" t="e">
        <f t="shared" si="3"/>
        <v>#DIV/0!</v>
      </c>
      <c r="L27" s="77" t="e">
        <f t="shared" si="15"/>
        <v>#DIV/0!</v>
      </c>
      <c r="M27" s="77" t="e">
        <f t="shared" si="0"/>
        <v>#DIV/0!</v>
      </c>
      <c r="N27" s="77" t="e">
        <f t="shared" si="16"/>
        <v>#DIV/0!</v>
      </c>
      <c r="O27" s="77" t="e">
        <f t="shared" si="17"/>
        <v>#DIV/0!</v>
      </c>
      <c r="P27" s="79" t="e">
        <f t="shared" si="2"/>
        <v>#DIV/0!</v>
      </c>
      <c r="Q27" s="74"/>
      <c r="R27" s="81" t="e">
        <f t="shared" si="4"/>
        <v>#DIV/0!</v>
      </c>
      <c r="S27" s="77" t="e">
        <f t="shared" si="5"/>
        <v>#DIV/0!</v>
      </c>
      <c r="T27" s="77" t="e">
        <f t="shared" si="5"/>
        <v>#DIV/0!</v>
      </c>
      <c r="U27" s="77" t="e">
        <f t="shared" si="6"/>
        <v>#DIV/0!</v>
      </c>
      <c r="V27" s="78" t="e">
        <f t="shared" si="11"/>
        <v>#DIV/0!</v>
      </c>
      <c r="W27" s="77" t="e">
        <f t="shared" si="7"/>
        <v>#DIV/0!</v>
      </c>
      <c r="Y27" s="152" t="e">
        <f t="shared" si="12"/>
        <v>#DIV/0!</v>
      </c>
      <c r="Z27" s="77" t="e">
        <f t="shared" si="13"/>
        <v>#DIV/0!</v>
      </c>
      <c r="AA27" s="77" t="e">
        <f t="shared" si="14"/>
        <v>#DIV/0!</v>
      </c>
      <c r="AB27" s="77" t="e">
        <f t="shared" si="8"/>
        <v>#DIV/0!</v>
      </c>
      <c r="AC27" s="77" t="e">
        <f t="shared" si="9"/>
        <v>#DIV/0!</v>
      </c>
      <c r="AD27" s="77" t="e">
        <f t="shared" si="10"/>
        <v>#DIV/0!</v>
      </c>
      <c r="AE27" s="80" t="e">
        <f t="shared" si="10"/>
        <v>#DIV/0!</v>
      </c>
    </row>
    <row r="28" spans="1:31" ht="15.75" customHeight="1">
      <c r="A28" s="40" t="s">
        <v>16</v>
      </c>
      <c r="B28" s="170">
        <f>'1.Reel GSYH '!B25</f>
        <v>0</v>
      </c>
      <c r="D28" s="175">
        <f>'1.Reel GSYH '!D25</f>
        <v>0</v>
      </c>
      <c r="E28" s="72">
        <f>'1.Reel GSYH '!E25</f>
        <v>0</v>
      </c>
      <c r="F28" s="72">
        <f>'1.Reel GSYH '!F25</f>
        <v>0</v>
      </c>
      <c r="G28" s="72">
        <f>'1.Reel GSYH '!G25</f>
        <v>0</v>
      </c>
      <c r="H28" s="72">
        <f>'1.Reel GSYH '!H25</f>
        <v>0</v>
      </c>
      <c r="I28" s="176">
        <f>'1.Reel GSYH '!I25</f>
        <v>0</v>
      </c>
      <c r="J28" s="83"/>
      <c r="K28" s="173" t="e">
        <f t="shared" si="3"/>
        <v>#DIV/0!</v>
      </c>
      <c r="L28" s="77" t="e">
        <f t="shared" si="15"/>
        <v>#DIV/0!</v>
      </c>
      <c r="M28" s="77" t="e">
        <f t="shared" si="15"/>
        <v>#DIV/0!</v>
      </c>
      <c r="N28" s="77" t="e">
        <f t="shared" si="16"/>
        <v>#DIV/0!</v>
      </c>
      <c r="O28" s="77" t="e">
        <f t="shared" si="17"/>
        <v>#DIV/0!</v>
      </c>
      <c r="P28" s="79" t="e">
        <f t="shared" si="17"/>
        <v>#DIV/0!</v>
      </c>
      <c r="Q28" s="74"/>
      <c r="R28" s="81" t="e">
        <f t="shared" si="4"/>
        <v>#DIV/0!</v>
      </c>
      <c r="S28" s="77" t="e">
        <f t="shared" si="5"/>
        <v>#DIV/0!</v>
      </c>
      <c r="T28" s="77" t="e">
        <f t="shared" si="5"/>
        <v>#DIV/0!</v>
      </c>
      <c r="U28" s="77" t="e">
        <f t="shared" si="6"/>
        <v>#DIV/0!</v>
      </c>
      <c r="V28" s="78" t="e">
        <f t="shared" si="11"/>
        <v>#DIV/0!</v>
      </c>
      <c r="W28" s="77" t="e">
        <f t="shared" si="7"/>
        <v>#DIV/0!</v>
      </c>
      <c r="Y28" s="152" t="e">
        <f t="shared" si="12"/>
        <v>#DIV/0!</v>
      </c>
      <c r="Z28" s="77" t="e">
        <f t="shared" si="13"/>
        <v>#DIV/0!</v>
      </c>
      <c r="AA28" s="77" t="e">
        <f t="shared" si="14"/>
        <v>#DIV/0!</v>
      </c>
      <c r="AB28" s="77" t="e">
        <f t="shared" si="8"/>
        <v>#DIV/0!</v>
      </c>
      <c r="AC28" s="77" t="e">
        <f t="shared" si="9"/>
        <v>#DIV/0!</v>
      </c>
      <c r="AD28" s="77" t="e">
        <f t="shared" si="10"/>
        <v>#DIV/0!</v>
      </c>
      <c r="AE28" s="80" t="e">
        <f t="shared" si="10"/>
        <v>#DIV/0!</v>
      </c>
    </row>
    <row r="29" spans="1:31" ht="15.75" customHeight="1">
      <c r="A29" s="40" t="s">
        <v>17</v>
      </c>
      <c r="B29" s="170">
        <f>'1.Reel GSYH '!B26</f>
        <v>0</v>
      </c>
      <c r="D29" s="175">
        <f>'1.Reel GSYH '!D26</f>
        <v>0</v>
      </c>
      <c r="E29" s="72">
        <f>'1.Reel GSYH '!E26</f>
        <v>0</v>
      </c>
      <c r="F29" s="72">
        <f>'1.Reel GSYH '!F26</f>
        <v>0</v>
      </c>
      <c r="G29" s="72">
        <f>'1.Reel GSYH '!G26</f>
        <v>0</v>
      </c>
      <c r="H29" s="72">
        <f>'1.Reel GSYH '!H26</f>
        <v>0</v>
      </c>
      <c r="I29" s="176">
        <f>'1.Reel GSYH '!I26</f>
        <v>0</v>
      </c>
      <c r="J29" s="83"/>
      <c r="K29" s="173" t="e">
        <f t="shared" si="3"/>
        <v>#DIV/0!</v>
      </c>
      <c r="L29" s="77" t="e">
        <f t="shared" si="15"/>
        <v>#DIV/0!</v>
      </c>
      <c r="M29" s="77" t="e">
        <f t="shared" si="15"/>
        <v>#DIV/0!</v>
      </c>
      <c r="N29" s="77" t="e">
        <f t="shared" si="16"/>
        <v>#DIV/0!</v>
      </c>
      <c r="O29" s="77" t="e">
        <f t="shared" si="17"/>
        <v>#DIV/0!</v>
      </c>
      <c r="P29" s="79" t="e">
        <f t="shared" si="17"/>
        <v>#DIV/0!</v>
      </c>
      <c r="Q29" s="74"/>
      <c r="R29" s="81" t="e">
        <f t="shared" ref="R29:R92" si="18">(D29/D25-1)*100</f>
        <v>#DIV/0!</v>
      </c>
      <c r="S29" s="77" t="e">
        <f t="shared" ref="S29:T92" si="19">(E29/E25-1)*100</f>
        <v>#DIV/0!</v>
      </c>
      <c r="T29" s="77" t="e">
        <f t="shared" si="5"/>
        <v>#DIV/0!</v>
      </c>
      <c r="U29" s="77" t="e">
        <f t="shared" ref="U29:U92" si="20">(G29/G25-1)*100</f>
        <v>#DIV/0!</v>
      </c>
      <c r="V29" s="78" t="e">
        <f t="shared" si="11"/>
        <v>#DIV/0!</v>
      </c>
      <c r="W29" s="77" t="e">
        <f t="shared" si="7"/>
        <v>#DIV/0!</v>
      </c>
      <c r="Y29" s="152" t="e">
        <f t="shared" si="12"/>
        <v>#DIV/0!</v>
      </c>
      <c r="Z29" s="77" t="e">
        <f t="shared" ref="Z29:Z92" si="21">((D29-D25)/$B25)*100</f>
        <v>#DIV/0!</v>
      </c>
      <c r="AA29" s="77" t="e">
        <f t="shared" ref="AA29:AB92" si="22">((E29-E25)/$B25)*100</f>
        <v>#DIV/0!</v>
      </c>
      <c r="AB29" s="77" t="e">
        <f>((F29-F25)/$B25)*100</f>
        <v>#DIV/0!</v>
      </c>
      <c r="AC29" s="77" t="e">
        <f t="shared" ref="AC29:AC92" si="23">((G29-G25)/$B25)*100</f>
        <v>#DIV/0!</v>
      </c>
      <c r="AD29" s="77" t="e">
        <f t="shared" ref="AD29:AE92" si="24">((H29-H25)/$B25)*100</f>
        <v>#DIV/0!</v>
      </c>
      <c r="AE29" s="80" t="e">
        <f t="shared" si="10"/>
        <v>#DIV/0!</v>
      </c>
    </row>
    <row r="30" spans="1:31" ht="15.75" customHeight="1">
      <c r="A30" s="40" t="s">
        <v>18</v>
      </c>
      <c r="B30" s="170">
        <f>'1.Reel GSYH '!B27</f>
        <v>0</v>
      </c>
      <c r="D30" s="175">
        <f>'1.Reel GSYH '!D27</f>
        <v>0</v>
      </c>
      <c r="E30" s="72">
        <f>'1.Reel GSYH '!E27</f>
        <v>0</v>
      </c>
      <c r="F30" s="72">
        <f>'1.Reel GSYH '!F27</f>
        <v>0</v>
      </c>
      <c r="G30" s="72">
        <f>'1.Reel GSYH '!G27</f>
        <v>0</v>
      </c>
      <c r="H30" s="72">
        <f>'1.Reel GSYH '!H27</f>
        <v>0</v>
      </c>
      <c r="I30" s="176">
        <f>'1.Reel GSYH '!I27</f>
        <v>0</v>
      </c>
      <c r="J30" s="83"/>
      <c r="K30" s="173" t="e">
        <f t="shared" si="3"/>
        <v>#DIV/0!</v>
      </c>
      <c r="L30" s="77" t="e">
        <f t="shared" si="15"/>
        <v>#DIV/0!</v>
      </c>
      <c r="M30" s="77" t="e">
        <f t="shared" si="15"/>
        <v>#DIV/0!</v>
      </c>
      <c r="N30" s="77" t="e">
        <f t="shared" si="16"/>
        <v>#DIV/0!</v>
      </c>
      <c r="O30" s="77" t="e">
        <f t="shared" si="17"/>
        <v>#DIV/0!</v>
      </c>
      <c r="P30" s="79" t="e">
        <f t="shared" si="17"/>
        <v>#DIV/0!</v>
      </c>
      <c r="Q30" s="74"/>
      <c r="R30" s="81" t="e">
        <f t="shared" si="18"/>
        <v>#DIV/0!</v>
      </c>
      <c r="S30" s="77" t="e">
        <f t="shared" si="19"/>
        <v>#DIV/0!</v>
      </c>
      <c r="T30" s="77" t="e">
        <f t="shared" si="5"/>
        <v>#DIV/0!</v>
      </c>
      <c r="U30" s="77" t="e">
        <f t="shared" si="20"/>
        <v>#DIV/0!</v>
      </c>
      <c r="V30" s="78" t="e">
        <f t="shared" si="11"/>
        <v>#DIV/0!</v>
      </c>
      <c r="W30" s="77" t="e">
        <f t="shared" si="7"/>
        <v>#DIV/0!</v>
      </c>
      <c r="Y30" s="152" t="e">
        <f t="shared" si="12"/>
        <v>#DIV/0!</v>
      </c>
      <c r="Z30" s="77" t="e">
        <f t="shared" si="21"/>
        <v>#DIV/0!</v>
      </c>
      <c r="AA30" s="77" t="e">
        <f t="shared" si="22"/>
        <v>#DIV/0!</v>
      </c>
      <c r="AB30" s="77" t="e">
        <f>((F30-F26)/$B26)*100</f>
        <v>#DIV/0!</v>
      </c>
      <c r="AC30" s="77" t="e">
        <f t="shared" si="23"/>
        <v>#DIV/0!</v>
      </c>
      <c r="AD30" s="77" t="e">
        <f t="shared" si="24"/>
        <v>#DIV/0!</v>
      </c>
      <c r="AE30" s="80" t="e">
        <f t="shared" si="10"/>
        <v>#DIV/0!</v>
      </c>
    </row>
    <row r="31" spans="1:31" ht="15.75" customHeight="1">
      <c r="A31" s="40" t="s">
        <v>19</v>
      </c>
      <c r="B31" s="170">
        <f>'1.Reel GSYH '!B28</f>
        <v>0</v>
      </c>
      <c r="D31" s="175">
        <f>'1.Reel GSYH '!D28</f>
        <v>0</v>
      </c>
      <c r="E31" s="72">
        <f>'1.Reel GSYH '!E28</f>
        <v>0</v>
      </c>
      <c r="F31" s="72">
        <f>'1.Reel GSYH '!F28</f>
        <v>0</v>
      </c>
      <c r="G31" s="72">
        <f>'1.Reel GSYH '!G28</f>
        <v>0</v>
      </c>
      <c r="H31" s="72">
        <f>'1.Reel GSYH '!H28</f>
        <v>0</v>
      </c>
      <c r="I31" s="176">
        <f>'1.Reel GSYH '!I28</f>
        <v>0</v>
      </c>
      <c r="J31" s="83"/>
      <c r="K31" s="173" t="e">
        <f t="shared" si="3"/>
        <v>#DIV/0!</v>
      </c>
      <c r="L31" s="77" t="e">
        <f t="shared" si="15"/>
        <v>#DIV/0!</v>
      </c>
      <c r="M31" s="77" t="e">
        <f t="shared" si="15"/>
        <v>#DIV/0!</v>
      </c>
      <c r="N31" s="77" t="e">
        <f t="shared" si="16"/>
        <v>#DIV/0!</v>
      </c>
      <c r="O31" s="77" t="e">
        <f t="shared" si="17"/>
        <v>#DIV/0!</v>
      </c>
      <c r="P31" s="79" t="e">
        <f t="shared" si="17"/>
        <v>#DIV/0!</v>
      </c>
      <c r="Q31" s="74"/>
      <c r="R31" s="81" t="e">
        <f t="shared" si="18"/>
        <v>#DIV/0!</v>
      </c>
      <c r="S31" s="77" t="e">
        <f t="shared" si="19"/>
        <v>#DIV/0!</v>
      </c>
      <c r="T31" s="77" t="e">
        <f t="shared" si="5"/>
        <v>#DIV/0!</v>
      </c>
      <c r="U31" s="77" t="e">
        <f t="shared" si="20"/>
        <v>#DIV/0!</v>
      </c>
      <c r="V31" s="78" t="e">
        <f t="shared" si="11"/>
        <v>#DIV/0!</v>
      </c>
      <c r="W31" s="77" t="e">
        <f t="shared" si="7"/>
        <v>#DIV/0!</v>
      </c>
      <c r="Y31" s="152" t="e">
        <f t="shared" si="12"/>
        <v>#DIV/0!</v>
      </c>
      <c r="Z31" s="77" t="e">
        <f t="shared" si="21"/>
        <v>#DIV/0!</v>
      </c>
      <c r="AA31" s="77" t="e">
        <f t="shared" si="22"/>
        <v>#DIV/0!</v>
      </c>
      <c r="AB31" s="77" t="e">
        <f>((F31-F27)/$B27)*100</f>
        <v>#DIV/0!</v>
      </c>
      <c r="AC31" s="77" t="e">
        <f t="shared" si="23"/>
        <v>#DIV/0!</v>
      </c>
      <c r="AD31" s="77" t="e">
        <f t="shared" si="24"/>
        <v>#DIV/0!</v>
      </c>
      <c r="AE31" s="80" t="e">
        <f t="shared" si="10"/>
        <v>#DIV/0!</v>
      </c>
    </row>
    <row r="32" spans="1:31" ht="15.75" customHeight="1">
      <c r="A32" s="40" t="s">
        <v>20</v>
      </c>
      <c r="B32" s="193">
        <v>192563.39864858999</v>
      </c>
      <c r="D32" s="175">
        <f>'1.Reel GSYH '!D29</f>
        <v>0</v>
      </c>
      <c r="E32" s="72">
        <f>'1.Reel GSYH '!E29</f>
        <v>0</v>
      </c>
      <c r="F32" s="72">
        <f>'1.Reel GSYH '!F29</f>
        <v>0</v>
      </c>
      <c r="G32" s="72">
        <f>'1.Reel GSYH '!G29</f>
        <v>0</v>
      </c>
      <c r="H32" s="72">
        <f>'1.Reel GSYH '!H29</f>
        <v>0</v>
      </c>
      <c r="I32" s="176">
        <f>'1.Reel GSYH '!I29</f>
        <v>0</v>
      </c>
      <c r="J32" s="83"/>
      <c r="K32" s="173">
        <f t="shared" si="3"/>
        <v>0</v>
      </c>
      <c r="L32" s="77">
        <f t="shared" si="15"/>
        <v>0</v>
      </c>
      <c r="M32" s="77">
        <f t="shared" si="15"/>
        <v>0</v>
      </c>
      <c r="N32" s="77">
        <f t="shared" si="16"/>
        <v>0</v>
      </c>
      <c r="O32" s="77">
        <f t="shared" si="17"/>
        <v>0</v>
      </c>
      <c r="P32" s="79">
        <f t="shared" si="17"/>
        <v>0</v>
      </c>
      <c r="R32" s="81" t="e">
        <f t="shared" si="18"/>
        <v>#DIV/0!</v>
      </c>
      <c r="S32" s="77" t="e">
        <f t="shared" si="19"/>
        <v>#DIV/0!</v>
      </c>
      <c r="T32" s="77" t="e">
        <f t="shared" si="19"/>
        <v>#DIV/0!</v>
      </c>
      <c r="U32" s="77" t="e">
        <f t="shared" si="20"/>
        <v>#DIV/0!</v>
      </c>
      <c r="V32" s="78" t="e">
        <f t="shared" si="11"/>
        <v>#DIV/0!</v>
      </c>
      <c r="W32" s="77" t="e">
        <f t="shared" ref="W32:W92" si="25">(I32/I28-1)*100</f>
        <v>#DIV/0!</v>
      </c>
      <c r="Y32" s="152" t="e">
        <f t="shared" si="12"/>
        <v>#DIV/0!</v>
      </c>
      <c r="Z32" s="77" t="e">
        <f t="shared" si="21"/>
        <v>#DIV/0!</v>
      </c>
      <c r="AA32" s="77" t="e">
        <f t="shared" si="22"/>
        <v>#DIV/0!</v>
      </c>
      <c r="AB32" s="77" t="e">
        <f t="shared" si="22"/>
        <v>#DIV/0!</v>
      </c>
      <c r="AC32" s="77" t="e">
        <f t="shared" si="23"/>
        <v>#DIV/0!</v>
      </c>
      <c r="AD32" s="77" t="e">
        <f t="shared" si="24"/>
        <v>#DIV/0!</v>
      </c>
      <c r="AE32" s="80" t="e">
        <f t="shared" si="24"/>
        <v>#DIV/0!</v>
      </c>
    </row>
    <row r="33" spans="1:31" ht="15.75" customHeight="1">
      <c r="A33" s="40" t="s">
        <v>21</v>
      </c>
      <c r="B33" s="193">
        <v>191029.5484498</v>
      </c>
      <c r="D33" s="175">
        <f>'1.Reel GSYH '!D30</f>
        <v>0</v>
      </c>
      <c r="E33" s="72">
        <f>'1.Reel GSYH '!E30</f>
        <v>0</v>
      </c>
      <c r="F33" s="72">
        <f>'1.Reel GSYH '!F30</f>
        <v>0</v>
      </c>
      <c r="G33" s="72">
        <f>'1.Reel GSYH '!G30</f>
        <v>0</v>
      </c>
      <c r="H33" s="72">
        <f>'1.Reel GSYH '!H30</f>
        <v>0</v>
      </c>
      <c r="I33" s="176">
        <f>'1.Reel GSYH '!I30</f>
        <v>0</v>
      </c>
      <c r="J33" s="83"/>
      <c r="K33" s="173">
        <f t="shared" si="3"/>
        <v>0</v>
      </c>
      <c r="L33" s="77">
        <f t="shared" si="15"/>
        <v>0</v>
      </c>
      <c r="M33" s="77">
        <f t="shared" si="15"/>
        <v>0</v>
      </c>
      <c r="N33" s="77">
        <f t="shared" si="16"/>
        <v>0</v>
      </c>
      <c r="O33" s="77">
        <f t="shared" si="17"/>
        <v>0</v>
      </c>
      <c r="P33" s="79">
        <f t="shared" si="17"/>
        <v>0</v>
      </c>
      <c r="R33" s="81" t="e">
        <f t="shared" si="18"/>
        <v>#DIV/0!</v>
      </c>
      <c r="S33" s="77" t="e">
        <f t="shared" si="19"/>
        <v>#DIV/0!</v>
      </c>
      <c r="T33" s="77" t="e">
        <f t="shared" si="19"/>
        <v>#DIV/0!</v>
      </c>
      <c r="U33" s="77" t="e">
        <f t="shared" si="20"/>
        <v>#DIV/0!</v>
      </c>
      <c r="V33" s="78" t="e">
        <f t="shared" si="11"/>
        <v>#DIV/0!</v>
      </c>
      <c r="W33" s="77" t="e">
        <f t="shared" si="25"/>
        <v>#DIV/0!</v>
      </c>
      <c r="Y33" s="152" t="e">
        <f t="shared" si="12"/>
        <v>#DIV/0!</v>
      </c>
      <c r="Z33" s="77" t="e">
        <f t="shared" si="21"/>
        <v>#DIV/0!</v>
      </c>
      <c r="AA33" s="77" t="e">
        <f t="shared" si="22"/>
        <v>#DIV/0!</v>
      </c>
      <c r="AB33" s="77" t="e">
        <f t="shared" si="22"/>
        <v>#DIV/0!</v>
      </c>
      <c r="AC33" s="77" t="e">
        <f t="shared" si="23"/>
        <v>#DIV/0!</v>
      </c>
      <c r="AD33" s="77" t="e">
        <f t="shared" si="24"/>
        <v>#DIV/0!</v>
      </c>
      <c r="AE33" s="80" t="e">
        <f t="shared" si="24"/>
        <v>#DIV/0!</v>
      </c>
    </row>
    <row r="34" spans="1:31" ht="15.75" customHeight="1">
      <c r="A34" s="40" t="s">
        <v>22</v>
      </c>
      <c r="B34" s="193">
        <v>188341.61962814999</v>
      </c>
      <c r="D34" s="175">
        <f>'1.Reel GSYH '!D31</f>
        <v>0</v>
      </c>
      <c r="E34" s="72">
        <f>'1.Reel GSYH '!E31</f>
        <v>0</v>
      </c>
      <c r="F34" s="72">
        <f>'1.Reel GSYH '!F31</f>
        <v>0</v>
      </c>
      <c r="G34" s="72">
        <f>'1.Reel GSYH '!G31</f>
        <v>0</v>
      </c>
      <c r="H34" s="72">
        <f>'1.Reel GSYH '!H31</f>
        <v>0</v>
      </c>
      <c r="I34" s="176">
        <f>'1.Reel GSYH '!I31</f>
        <v>0</v>
      </c>
      <c r="J34" s="83"/>
      <c r="K34" s="173">
        <f t="shared" si="3"/>
        <v>0</v>
      </c>
      <c r="L34" s="77">
        <f t="shared" si="15"/>
        <v>0</v>
      </c>
      <c r="M34" s="77">
        <f t="shared" si="15"/>
        <v>0</v>
      </c>
      <c r="N34" s="77">
        <f t="shared" si="16"/>
        <v>0</v>
      </c>
      <c r="O34" s="77">
        <f t="shared" si="17"/>
        <v>0</v>
      </c>
      <c r="P34" s="79">
        <f t="shared" si="17"/>
        <v>0</v>
      </c>
      <c r="R34" s="81" t="e">
        <f t="shared" si="18"/>
        <v>#DIV/0!</v>
      </c>
      <c r="S34" s="77" t="e">
        <f t="shared" si="19"/>
        <v>#DIV/0!</v>
      </c>
      <c r="T34" s="77" t="e">
        <f t="shared" si="19"/>
        <v>#DIV/0!</v>
      </c>
      <c r="U34" s="77" t="e">
        <f t="shared" si="20"/>
        <v>#DIV/0!</v>
      </c>
      <c r="V34" s="78" t="e">
        <f t="shared" si="11"/>
        <v>#DIV/0!</v>
      </c>
      <c r="W34" s="77" t="e">
        <f t="shared" si="25"/>
        <v>#DIV/0!</v>
      </c>
      <c r="Y34" s="152" t="e">
        <f t="shared" si="12"/>
        <v>#DIV/0!</v>
      </c>
      <c r="Z34" s="77" t="e">
        <f t="shared" si="21"/>
        <v>#DIV/0!</v>
      </c>
      <c r="AA34" s="77" t="e">
        <f t="shared" si="22"/>
        <v>#DIV/0!</v>
      </c>
      <c r="AB34" s="77" t="e">
        <f t="shared" si="22"/>
        <v>#DIV/0!</v>
      </c>
      <c r="AC34" s="77" t="e">
        <f t="shared" si="23"/>
        <v>#DIV/0!</v>
      </c>
      <c r="AD34" s="77" t="e">
        <f t="shared" si="24"/>
        <v>#DIV/0!</v>
      </c>
      <c r="AE34" s="80" t="e">
        <f t="shared" si="24"/>
        <v>#DIV/0!</v>
      </c>
    </row>
    <row r="35" spans="1:31" ht="15.75" customHeight="1">
      <c r="A35" s="40" t="s">
        <v>23</v>
      </c>
      <c r="B35" s="193">
        <v>187854.40217630001</v>
      </c>
      <c r="D35" s="175">
        <f>'1.Reel GSYH '!D32</f>
        <v>0</v>
      </c>
      <c r="E35" s="72">
        <f>'1.Reel GSYH '!E32</f>
        <v>0</v>
      </c>
      <c r="F35" s="72">
        <f>'1.Reel GSYH '!F32</f>
        <v>0</v>
      </c>
      <c r="G35" s="72">
        <f>'1.Reel GSYH '!G32</f>
        <v>0</v>
      </c>
      <c r="H35" s="72">
        <f>'1.Reel GSYH '!H32</f>
        <v>0</v>
      </c>
      <c r="I35" s="176">
        <f>'1.Reel GSYH '!I32</f>
        <v>0</v>
      </c>
      <c r="J35" s="83"/>
      <c r="K35" s="173">
        <f t="shared" si="3"/>
        <v>0</v>
      </c>
      <c r="L35" s="77">
        <f t="shared" si="15"/>
        <v>0</v>
      </c>
      <c r="M35" s="77">
        <f t="shared" si="15"/>
        <v>0</v>
      </c>
      <c r="N35" s="77">
        <f t="shared" si="16"/>
        <v>0</v>
      </c>
      <c r="O35" s="77">
        <f t="shared" si="17"/>
        <v>0</v>
      </c>
      <c r="P35" s="79">
        <f t="shared" si="17"/>
        <v>0</v>
      </c>
      <c r="R35" s="81" t="e">
        <f t="shared" si="18"/>
        <v>#DIV/0!</v>
      </c>
      <c r="S35" s="77" t="e">
        <f t="shared" si="19"/>
        <v>#DIV/0!</v>
      </c>
      <c r="T35" s="77" t="e">
        <f t="shared" si="19"/>
        <v>#DIV/0!</v>
      </c>
      <c r="U35" s="77" t="e">
        <f t="shared" si="20"/>
        <v>#DIV/0!</v>
      </c>
      <c r="V35" s="78" t="e">
        <f t="shared" si="11"/>
        <v>#DIV/0!</v>
      </c>
      <c r="W35" s="77" t="e">
        <f t="shared" si="25"/>
        <v>#DIV/0!</v>
      </c>
      <c r="Y35" s="152" t="e">
        <f t="shared" si="12"/>
        <v>#DIV/0!</v>
      </c>
      <c r="Z35" s="77" t="e">
        <f t="shared" si="21"/>
        <v>#DIV/0!</v>
      </c>
      <c r="AA35" s="77" t="e">
        <f t="shared" si="22"/>
        <v>#DIV/0!</v>
      </c>
      <c r="AB35" s="77" t="e">
        <f t="shared" si="22"/>
        <v>#DIV/0!</v>
      </c>
      <c r="AC35" s="77" t="e">
        <f t="shared" si="23"/>
        <v>#DIV/0!</v>
      </c>
      <c r="AD35" s="77" t="e">
        <f t="shared" si="24"/>
        <v>#DIV/0!</v>
      </c>
      <c r="AE35" s="80" t="e">
        <f t="shared" si="24"/>
        <v>#DIV/0!</v>
      </c>
    </row>
    <row r="36" spans="1:31" ht="15.75" customHeight="1">
      <c r="A36" s="40" t="s">
        <v>24</v>
      </c>
      <c r="B36" s="193">
        <v>184687.51468267001</v>
      </c>
      <c r="D36" s="175">
        <f>'1.Reel GSYH '!D33</f>
        <v>0</v>
      </c>
      <c r="E36" s="72">
        <f>'1.Reel GSYH '!E33</f>
        <v>0</v>
      </c>
      <c r="F36" s="72">
        <f>'1.Reel GSYH '!F33</f>
        <v>0</v>
      </c>
      <c r="G36" s="72">
        <f>'1.Reel GSYH '!G33</f>
        <v>0</v>
      </c>
      <c r="H36" s="72">
        <f>'1.Reel GSYH '!H33</f>
        <v>0</v>
      </c>
      <c r="I36" s="176">
        <f>'1.Reel GSYH '!I33</f>
        <v>0</v>
      </c>
      <c r="J36" s="83"/>
      <c r="K36" s="173">
        <f t="shared" si="3"/>
        <v>0</v>
      </c>
      <c r="L36" s="77">
        <f t="shared" si="15"/>
        <v>0</v>
      </c>
      <c r="M36" s="77">
        <f t="shared" si="15"/>
        <v>0</v>
      </c>
      <c r="N36" s="77">
        <f t="shared" si="16"/>
        <v>0</v>
      </c>
      <c r="O36" s="77">
        <f t="shared" si="17"/>
        <v>0</v>
      </c>
      <c r="P36" s="79">
        <f t="shared" si="17"/>
        <v>0</v>
      </c>
      <c r="R36" s="81" t="e">
        <f t="shared" si="18"/>
        <v>#DIV/0!</v>
      </c>
      <c r="S36" s="77" t="e">
        <f t="shared" si="19"/>
        <v>#DIV/0!</v>
      </c>
      <c r="T36" s="77" t="e">
        <f t="shared" si="19"/>
        <v>#DIV/0!</v>
      </c>
      <c r="U36" s="77" t="e">
        <f t="shared" si="20"/>
        <v>#DIV/0!</v>
      </c>
      <c r="V36" s="78" t="e">
        <f t="shared" si="11"/>
        <v>#DIV/0!</v>
      </c>
      <c r="W36" s="77" t="e">
        <f t="shared" si="25"/>
        <v>#DIV/0!</v>
      </c>
      <c r="Y36" s="152">
        <f t="shared" si="12"/>
        <v>-4.0900212715359929</v>
      </c>
      <c r="Z36" s="77">
        <f t="shared" si="21"/>
        <v>0</v>
      </c>
      <c r="AA36" s="77">
        <f t="shared" si="22"/>
        <v>0</v>
      </c>
      <c r="AB36" s="77">
        <f t="shared" si="22"/>
        <v>0</v>
      </c>
      <c r="AC36" s="77">
        <f t="shared" si="23"/>
        <v>0</v>
      </c>
      <c r="AD36" s="77">
        <f t="shared" si="24"/>
        <v>0</v>
      </c>
      <c r="AE36" s="80">
        <f t="shared" si="24"/>
        <v>0</v>
      </c>
    </row>
    <row r="37" spans="1:31" ht="15.75" customHeight="1">
      <c r="A37" s="40" t="s">
        <v>25</v>
      </c>
      <c r="B37" s="193">
        <v>183646.40222679</v>
      </c>
      <c r="D37" s="175">
        <f>'1.Reel GSYH '!D34</f>
        <v>0</v>
      </c>
      <c r="E37" s="72">
        <f>'1.Reel GSYH '!E34</f>
        <v>0</v>
      </c>
      <c r="F37" s="72">
        <f>'1.Reel GSYH '!F34</f>
        <v>0</v>
      </c>
      <c r="G37" s="72">
        <f>'1.Reel GSYH '!G34</f>
        <v>0</v>
      </c>
      <c r="H37" s="72">
        <f>'1.Reel GSYH '!H34</f>
        <v>0</v>
      </c>
      <c r="I37" s="176">
        <f>'1.Reel GSYH '!I34</f>
        <v>0</v>
      </c>
      <c r="J37" s="83"/>
      <c r="K37" s="173">
        <f t="shared" si="3"/>
        <v>0</v>
      </c>
      <c r="L37" s="77">
        <f t="shared" si="15"/>
        <v>0</v>
      </c>
      <c r="M37" s="77">
        <f t="shared" si="15"/>
        <v>0</v>
      </c>
      <c r="N37" s="77">
        <f t="shared" si="16"/>
        <v>0</v>
      </c>
      <c r="O37" s="77">
        <f t="shared" si="17"/>
        <v>0</v>
      </c>
      <c r="P37" s="79">
        <f t="shared" si="17"/>
        <v>0</v>
      </c>
      <c r="R37" s="81" t="e">
        <f t="shared" si="18"/>
        <v>#DIV/0!</v>
      </c>
      <c r="S37" s="77" t="e">
        <f t="shared" si="19"/>
        <v>#DIV/0!</v>
      </c>
      <c r="T37" s="77" t="e">
        <f t="shared" si="19"/>
        <v>#DIV/0!</v>
      </c>
      <c r="U37" s="77" t="e">
        <f t="shared" si="20"/>
        <v>#DIV/0!</v>
      </c>
      <c r="V37" s="78" t="e">
        <f t="shared" si="11"/>
        <v>#DIV/0!</v>
      </c>
      <c r="W37" s="77" t="e">
        <f t="shared" si="25"/>
        <v>#DIV/0!</v>
      </c>
      <c r="Y37" s="152">
        <f t="shared" si="12"/>
        <v>-3.8649236638645945</v>
      </c>
      <c r="Z37" s="77">
        <f t="shared" si="21"/>
        <v>0</v>
      </c>
      <c r="AA37" s="77">
        <f t="shared" si="22"/>
        <v>0</v>
      </c>
      <c r="AB37" s="77">
        <f t="shared" si="22"/>
        <v>0</v>
      </c>
      <c r="AC37" s="77">
        <f t="shared" si="23"/>
        <v>0</v>
      </c>
      <c r="AD37" s="77">
        <f t="shared" si="24"/>
        <v>0</v>
      </c>
      <c r="AE37" s="80">
        <f t="shared" si="24"/>
        <v>0</v>
      </c>
    </row>
    <row r="38" spans="1:31" ht="15.75" customHeight="1">
      <c r="A38" s="40" t="s">
        <v>26</v>
      </c>
      <c r="B38" s="193">
        <v>180548.98884735999</v>
      </c>
      <c r="D38" s="175">
        <f>'1.Reel GSYH '!D35</f>
        <v>0</v>
      </c>
      <c r="E38" s="72">
        <f>'1.Reel GSYH '!E35</f>
        <v>0</v>
      </c>
      <c r="F38" s="72">
        <f>'1.Reel GSYH '!F35</f>
        <v>0</v>
      </c>
      <c r="G38" s="72">
        <f>'1.Reel GSYH '!G35</f>
        <v>0</v>
      </c>
      <c r="H38" s="72">
        <f>'1.Reel GSYH '!H35</f>
        <v>0</v>
      </c>
      <c r="I38" s="176">
        <f>'1.Reel GSYH '!I35</f>
        <v>0</v>
      </c>
      <c r="J38" s="83"/>
      <c r="K38" s="173">
        <f t="shared" si="3"/>
        <v>0</v>
      </c>
      <c r="L38" s="77">
        <f t="shared" si="15"/>
        <v>0</v>
      </c>
      <c r="M38" s="77">
        <f t="shared" si="15"/>
        <v>0</v>
      </c>
      <c r="N38" s="77">
        <f t="shared" si="16"/>
        <v>0</v>
      </c>
      <c r="O38" s="77">
        <f t="shared" si="17"/>
        <v>0</v>
      </c>
      <c r="P38" s="79">
        <f t="shared" si="17"/>
        <v>0</v>
      </c>
      <c r="R38" s="81" t="e">
        <f t="shared" si="18"/>
        <v>#DIV/0!</v>
      </c>
      <c r="S38" s="77" t="e">
        <f t="shared" si="19"/>
        <v>#DIV/0!</v>
      </c>
      <c r="T38" s="77" t="e">
        <f t="shared" si="19"/>
        <v>#DIV/0!</v>
      </c>
      <c r="U38" s="77" t="e">
        <f t="shared" si="20"/>
        <v>#DIV/0!</v>
      </c>
      <c r="V38" s="78" t="e">
        <f t="shared" si="11"/>
        <v>#DIV/0!</v>
      </c>
      <c r="W38" s="77" t="e">
        <f t="shared" si="25"/>
        <v>#DIV/0!</v>
      </c>
      <c r="Y38" s="152">
        <f t="shared" si="12"/>
        <v>-4.1374980188528143</v>
      </c>
      <c r="Z38" s="77">
        <f t="shared" si="21"/>
        <v>0</v>
      </c>
      <c r="AA38" s="77">
        <f t="shared" si="22"/>
        <v>0</v>
      </c>
      <c r="AB38" s="77">
        <f t="shared" si="22"/>
        <v>0</v>
      </c>
      <c r="AC38" s="77">
        <f t="shared" si="23"/>
        <v>0</v>
      </c>
      <c r="AD38" s="77">
        <f t="shared" si="24"/>
        <v>0</v>
      </c>
      <c r="AE38" s="80">
        <f t="shared" si="24"/>
        <v>0</v>
      </c>
    </row>
    <row r="39" spans="1:31" ht="15.75" customHeight="1">
      <c r="A39" s="40" t="s">
        <v>27</v>
      </c>
      <c r="B39" s="193">
        <v>185942.74597804001</v>
      </c>
      <c r="D39" s="175">
        <f>'1.Reel GSYH '!D36</f>
        <v>0</v>
      </c>
      <c r="E39" s="72">
        <f>'1.Reel GSYH '!E36</f>
        <v>0</v>
      </c>
      <c r="F39" s="72">
        <f>'1.Reel GSYH '!F36</f>
        <v>0</v>
      </c>
      <c r="G39" s="72">
        <f>'1.Reel GSYH '!G36</f>
        <v>0</v>
      </c>
      <c r="H39" s="72">
        <f>'1.Reel GSYH '!H36</f>
        <v>0</v>
      </c>
      <c r="I39" s="176">
        <f>'1.Reel GSYH '!I36</f>
        <v>0</v>
      </c>
      <c r="J39" s="83"/>
      <c r="K39" s="173">
        <f t="shared" si="3"/>
        <v>0</v>
      </c>
      <c r="L39" s="77">
        <f t="shared" si="15"/>
        <v>0</v>
      </c>
      <c r="M39" s="77">
        <f t="shared" si="15"/>
        <v>0</v>
      </c>
      <c r="N39" s="77">
        <f t="shared" si="16"/>
        <v>0</v>
      </c>
      <c r="O39" s="77">
        <f t="shared" si="17"/>
        <v>0</v>
      </c>
      <c r="P39" s="79">
        <f t="shared" si="17"/>
        <v>0</v>
      </c>
      <c r="R39" s="81" t="e">
        <f t="shared" si="18"/>
        <v>#DIV/0!</v>
      </c>
      <c r="S39" s="77" t="e">
        <f t="shared" si="19"/>
        <v>#DIV/0!</v>
      </c>
      <c r="T39" s="77" t="e">
        <f t="shared" si="19"/>
        <v>#DIV/0!</v>
      </c>
      <c r="U39" s="77" t="e">
        <f t="shared" si="20"/>
        <v>#DIV/0!</v>
      </c>
      <c r="V39" s="78" t="e">
        <f t="shared" si="11"/>
        <v>#DIV/0!</v>
      </c>
      <c r="W39" s="77" t="e">
        <f t="shared" si="25"/>
        <v>#DIV/0!</v>
      </c>
      <c r="Y39" s="152">
        <f t="shared" si="12"/>
        <v>-1.0176265108048477</v>
      </c>
      <c r="Z39" s="77">
        <f t="shared" si="21"/>
        <v>0</v>
      </c>
      <c r="AA39" s="77">
        <f t="shared" si="22"/>
        <v>0</v>
      </c>
      <c r="AB39" s="77">
        <f t="shared" si="22"/>
        <v>0</v>
      </c>
      <c r="AC39" s="77">
        <f t="shared" si="23"/>
        <v>0</v>
      </c>
      <c r="AD39" s="77">
        <f t="shared" si="24"/>
        <v>0</v>
      </c>
      <c r="AE39" s="80">
        <f t="shared" si="24"/>
        <v>0</v>
      </c>
    </row>
    <row r="40" spans="1:31" ht="15.75" customHeight="1">
      <c r="A40" s="40" t="s">
        <v>28</v>
      </c>
      <c r="B40" s="193">
        <v>188871.06787222999</v>
      </c>
      <c r="D40" s="175">
        <f>'1.Reel GSYH '!D37</f>
        <v>0</v>
      </c>
      <c r="E40" s="72">
        <f>'1.Reel GSYH '!E37</f>
        <v>0</v>
      </c>
      <c r="F40" s="72">
        <f>'1.Reel GSYH '!F37</f>
        <v>0</v>
      </c>
      <c r="G40" s="72">
        <f>'1.Reel GSYH '!G37</f>
        <v>0</v>
      </c>
      <c r="H40" s="72">
        <f>'1.Reel GSYH '!H37</f>
        <v>0</v>
      </c>
      <c r="I40" s="176">
        <f>'1.Reel GSYH '!I37</f>
        <v>0</v>
      </c>
      <c r="J40" s="83"/>
      <c r="K40" s="173">
        <f t="shared" si="3"/>
        <v>0</v>
      </c>
      <c r="L40" s="77">
        <f t="shared" si="15"/>
        <v>0</v>
      </c>
      <c r="M40" s="77">
        <f t="shared" si="15"/>
        <v>0</v>
      </c>
      <c r="N40" s="77">
        <f t="shared" si="16"/>
        <v>0</v>
      </c>
      <c r="O40" s="77">
        <f t="shared" si="17"/>
        <v>0</v>
      </c>
      <c r="P40" s="79">
        <f t="shared" si="17"/>
        <v>0</v>
      </c>
      <c r="R40" s="81" t="e">
        <f t="shared" si="18"/>
        <v>#DIV/0!</v>
      </c>
      <c r="S40" s="77" t="e">
        <f t="shared" si="19"/>
        <v>#DIV/0!</v>
      </c>
      <c r="T40" s="77" t="e">
        <f t="shared" si="19"/>
        <v>#DIV/0!</v>
      </c>
      <c r="U40" s="77" t="e">
        <f t="shared" si="20"/>
        <v>#DIV/0!</v>
      </c>
      <c r="V40" s="78" t="e">
        <f t="shared" si="11"/>
        <v>#DIV/0!</v>
      </c>
      <c r="W40" s="77" t="e">
        <f t="shared" si="25"/>
        <v>#DIV/0!</v>
      </c>
      <c r="Y40" s="152">
        <f t="shared" si="12"/>
        <v>2.2652062846522991</v>
      </c>
      <c r="Z40" s="77">
        <f t="shared" si="21"/>
        <v>0</v>
      </c>
      <c r="AA40" s="77">
        <f t="shared" si="22"/>
        <v>0</v>
      </c>
      <c r="AB40" s="77">
        <f t="shared" si="22"/>
        <v>0</v>
      </c>
      <c r="AC40" s="77">
        <f t="shared" si="23"/>
        <v>0</v>
      </c>
      <c r="AD40" s="77">
        <f t="shared" si="24"/>
        <v>0</v>
      </c>
      <c r="AE40" s="80">
        <f t="shared" si="24"/>
        <v>0</v>
      </c>
    </row>
    <row r="41" spans="1:31" ht="15.75" customHeight="1">
      <c r="A41" s="40" t="s">
        <v>29</v>
      </c>
      <c r="B41" s="193">
        <v>196224.51805068</v>
      </c>
      <c r="D41" s="175">
        <f>'1.Reel GSYH '!D38</f>
        <v>0</v>
      </c>
      <c r="E41" s="72">
        <f>'1.Reel GSYH '!E38</f>
        <v>0</v>
      </c>
      <c r="F41" s="72">
        <f>'1.Reel GSYH '!F38</f>
        <v>0</v>
      </c>
      <c r="G41" s="72">
        <f>'1.Reel GSYH '!G38</f>
        <v>0</v>
      </c>
      <c r="H41" s="72">
        <f>'1.Reel GSYH '!H38</f>
        <v>0</v>
      </c>
      <c r="I41" s="176">
        <f>'1.Reel GSYH '!I38</f>
        <v>0</v>
      </c>
      <c r="J41" s="83"/>
      <c r="K41" s="173">
        <f t="shared" si="3"/>
        <v>0</v>
      </c>
      <c r="L41" s="77">
        <f t="shared" si="15"/>
        <v>0</v>
      </c>
      <c r="M41" s="77">
        <f t="shared" si="15"/>
        <v>0</v>
      </c>
      <c r="N41" s="77">
        <f t="shared" si="16"/>
        <v>0</v>
      </c>
      <c r="O41" s="77">
        <f t="shared" si="17"/>
        <v>0</v>
      </c>
      <c r="P41" s="79">
        <f t="shared" si="17"/>
        <v>0</v>
      </c>
      <c r="R41" s="81" t="e">
        <f t="shared" si="18"/>
        <v>#DIV/0!</v>
      </c>
      <c r="S41" s="77" t="e">
        <f t="shared" si="19"/>
        <v>#DIV/0!</v>
      </c>
      <c r="T41" s="77" t="e">
        <f t="shared" si="19"/>
        <v>#DIV/0!</v>
      </c>
      <c r="U41" s="77" t="e">
        <f t="shared" si="20"/>
        <v>#DIV/0!</v>
      </c>
      <c r="V41" s="78" t="e">
        <f t="shared" si="11"/>
        <v>#DIV/0!</v>
      </c>
      <c r="W41" s="77" t="e">
        <f t="shared" si="25"/>
        <v>#DIV/0!</v>
      </c>
      <c r="Y41" s="152">
        <f t="shared" si="12"/>
        <v>6.8490946032021549</v>
      </c>
      <c r="Z41" s="77">
        <f t="shared" si="21"/>
        <v>0</v>
      </c>
      <c r="AA41" s="77">
        <f t="shared" si="22"/>
        <v>0</v>
      </c>
      <c r="AB41" s="77">
        <f t="shared" si="22"/>
        <v>0</v>
      </c>
      <c r="AC41" s="77">
        <f t="shared" si="23"/>
        <v>0</v>
      </c>
      <c r="AD41" s="77">
        <f t="shared" si="24"/>
        <v>0</v>
      </c>
      <c r="AE41" s="80">
        <f t="shared" si="24"/>
        <v>0</v>
      </c>
    </row>
    <row r="42" spans="1:31" ht="15.75" customHeight="1">
      <c r="A42" s="40" t="s">
        <v>30</v>
      </c>
      <c r="B42" s="193">
        <v>199146.92201615</v>
      </c>
      <c r="D42" s="175">
        <f>'1.Reel GSYH '!D39</f>
        <v>0</v>
      </c>
      <c r="E42" s="72">
        <f>'1.Reel GSYH '!E39</f>
        <v>0</v>
      </c>
      <c r="F42" s="72">
        <f>'1.Reel GSYH '!F39</f>
        <v>0</v>
      </c>
      <c r="G42" s="72">
        <f>'1.Reel GSYH '!G39</f>
        <v>0</v>
      </c>
      <c r="H42" s="72">
        <f>'1.Reel GSYH '!H39</f>
        <v>0</v>
      </c>
      <c r="I42" s="176">
        <f>'1.Reel GSYH '!I39</f>
        <v>0</v>
      </c>
      <c r="J42" s="83"/>
      <c r="K42" s="173">
        <f t="shared" si="3"/>
        <v>0</v>
      </c>
      <c r="L42" s="77">
        <f t="shared" si="15"/>
        <v>0</v>
      </c>
      <c r="M42" s="77">
        <f t="shared" si="15"/>
        <v>0</v>
      </c>
      <c r="N42" s="77">
        <f t="shared" si="16"/>
        <v>0</v>
      </c>
      <c r="O42" s="77">
        <f t="shared" si="17"/>
        <v>0</v>
      </c>
      <c r="P42" s="79">
        <f t="shared" si="17"/>
        <v>0</v>
      </c>
      <c r="R42" s="81" t="e">
        <f t="shared" si="18"/>
        <v>#DIV/0!</v>
      </c>
      <c r="S42" s="77" t="e">
        <f t="shared" si="19"/>
        <v>#DIV/0!</v>
      </c>
      <c r="T42" s="77" t="e">
        <f t="shared" si="19"/>
        <v>#DIV/0!</v>
      </c>
      <c r="U42" s="77" t="e">
        <f t="shared" si="20"/>
        <v>#DIV/0!</v>
      </c>
      <c r="V42" s="78" t="e">
        <f t="shared" si="11"/>
        <v>#DIV/0!</v>
      </c>
      <c r="W42" s="77" t="e">
        <f t="shared" si="25"/>
        <v>#DIV/0!</v>
      </c>
      <c r="Y42" s="152">
        <f t="shared" si="12"/>
        <v>10.300768388414028</v>
      </c>
      <c r="Z42" s="77">
        <f t="shared" si="21"/>
        <v>0</v>
      </c>
      <c r="AA42" s="77">
        <f t="shared" si="22"/>
        <v>0</v>
      </c>
      <c r="AB42" s="77">
        <f t="shared" si="22"/>
        <v>0</v>
      </c>
      <c r="AC42" s="77">
        <f t="shared" si="23"/>
        <v>0</v>
      </c>
      <c r="AD42" s="77">
        <f t="shared" si="24"/>
        <v>0</v>
      </c>
      <c r="AE42" s="80">
        <f t="shared" si="24"/>
        <v>0</v>
      </c>
    </row>
    <row r="43" spans="1:31" ht="15.75" customHeight="1">
      <c r="A43" s="40" t="s">
        <v>31</v>
      </c>
      <c r="B43" s="193">
        <v>202007.93323408</v>
      </c>
      <c r="D43" s="175">
        <f>'1.Reel GSYH '!D40</f>
        <v>0</v>
      </c>
      <c r="E43" s="72">
        <f>'1.Reel GSYH '!E40</f>
        <v>0</v>
      </c>
      <c r="F43" s="72">
        <f>'1.Reel GSYH '!F40</f>
        <v>0</v>
      </c>
      <c r="G43" s="72">
        <f>'1.Reel GSYH '!G40</f>
        <v>0</v>
      </c>
      <c r="H43" s="72">
        <f>'1.Reel GSYH '!H40</f>
        <v>0</v>
      </c>
      <c r="I43" s="176">
        <f>'1.Reel GSYH '!I40</f>
        <v>0</v>
      </c>
      <c r="J43" s="83"/>
      <c r="K43" s="173">
        <f t="shared" si="3"/>
        <v>0</v>
      </c>
      <c r="L43" s="77">
        <f t="shared" si="15"/>
        <v>0</v>
      </c>
      <c r="M43" s="77">
        <f t="shared" si="15"/>
        <v>0</v>
      </c>
      <c r="N43" s="77">
        <f t="shared" si="16"/>
        <v>0</v>
      </c>
      <c r="O43" s="77">
        <f t="shared" si="17"/>
        <v>0</v>
      </c>
      <c r="P43" s="79">
        <f t="shared" si="17"/>
        <v>0</v>
      </c>
      <c r="R43" s="81" t="e">
        <f t="shared" si="18"/>
        <v>#DIV/0!</v>
      </c>
      <c r="S43" s="77" t="e">
        <f t="shared" si="19"/>
        <v>#DIV/0!</v>
      </c>
      <c r="T43" s="77" t="e">
        <f t="shared" si="19"/>
        <v>#DIV/0!</v>
      </c>
      <c r="U43" s="77" t="e">
        <f t="shared" si="20"/>
        <v>#DIV/0!</v>
      </c>
      <c r="V43" s="78" t="e">
        <f t="shared" si="11"/>
        <v>#DIV/0!</v>
      </c>
      <c r="W43" s="77" t="e">
        <f t="shared" si="25"/>
        <v>#DIV/0!</v>
      </c>
      <c r="Y43" s="152">
        <f t="shared" si="12"/>
        <v>8.6398569471149536</v>
      </c>
      <c r="Z43" s="77">
        <f t="shared" si="21"/>
        <v>0</v>
      </c>
      <c r="AA43" s="77">
        <f t="shared" si="22"/>
        <v>0</v>
      </c>
      <c r="AB43" s="77">
        <f t="shared" si="22"/>
        <v>0</v>
      </c>
      <c r="AC43" s="77">
        <f t="shared" si="23"/>
        <v>0</v>
      </c>
      <c r="AD43" s="77">
        <f t="shared" si="24"/>
        <v>0</v>
      </c>
      <c r="AE43" s="80">
        <f t="shared" si="24"/>
        <v>0</v>
      </c>
    </row>
    <row r="44" spans="1:31" ht="15.75" customHeight="1">
      <c r="A44" s="40" t="s">
        <v>32</v>
      </c>
      <c r="B44" s="193">
        <v>191654.76481841999</v>
      </c>
      <c r="D44" s="175">
        <f>'1.Reel GSYH '!D41</f>
        <v>0</v>
      </c>
      <c r="E44" s="72">
        <f>'1.Reel GSYH '!E41</f>
        <v>0</v>
      </c>
      <c r="F44" s="72">
        <f>'1.Reel GSYH '!F41</f>
        <v>0</v>
      </c>
      <c r="G44" s="72">
        <f>'1.Reel GSYH '!G41</f>
        <v>0</v>
      </c>
      <c r="H44" s="72">
        <f>'1.Reel GSYH '!H41</f>
        <v>0</v>
      </c>
      <c r="I44" s="176">
        <f>'1.Reel GSYH '!I41</f>
        <v>0</v>
      </c>
      <c r="J44" s="83"/>
      <c r="K44" s="173">
        <f t="shared" si="3"/>
        <v>0</v>
      </c>
      <c r="L44" s="77">
        <f t="shared" si="15"/>
        <v>0</v>
      </c>
      <c r="M44" s="77">
        <f t="shared" si="15"/>
        <v>0</v>
      </c>
      <c r="N44" s="77">
        <f t="shared" si="16"/>
        <v>0</v>
      </c>
      <c r="O44" s="77">
        <f t="shared" si="17"/>
        <v>0</v>
      </c>
      <c r="P44" s="79">
        <f t="shared" si="17"/>
        <v>0</v>
      </c>
      <c r="R44" s="81" t="e">
        <f t="shared" si="18"/>
        <v>#DIV/0!</v>
      </c>
      <c r="S44" s="77" t="e">
        <f t="shared" si="19"/>
        <v>#DIV/0!</v>
      </c>
      <c r="T44" s="77" t="e">
        <f t="shared" si="19"/>
        <v>#DIV/0!</v>
      </c>
      <c r="U44" s="77" t="e">
        <f t="shared" si="20"/>
        <v>#DIV/0!</v>
      </c>
      <c r="V44" s="78" t="e">
        <f t="shared" si="11"/>
        <v>#DIV/0!</v>
      </c>
      <c r="W44" s="77" t="e">
        <f t="shared" si="25"/>
        <v>#DIV/0!</v>
      </c>
      <c r="Y44" s="152">
        <f t="shared" si="12"/>
        <v>1.4738609663991209</v>
      </c>
      <c r="Z44" s="77">
        <f t="shared" si="21"/>
        <v>0</v>
      </c>
      <c r="AA44" s="77">
        <f t="shared" si="22"/>
        <v>0</v>
      </c>
      <c r="AB44" s="77">
        <f t="shared" si="22"/>
        <v>0</v>
      </c>
      <c r="AC44" s="77">
        <f t="shared" si="23"/>
        <v>0</v>
      </c>
      <c r="AD44" s="77">
        <f t="shared" si="24"/>
        <v>0</v>
      </c>
      <c r="AE44" s="80">
        <f t="shared" si="24"/>
        <v>0</v>
      </c>
    </row>
    <row r="45" spans="1:31" ht="15.75" customHeight="1">
      <c r="A45" s="40" t="s">
        <v>33</v>
      </c>
      <c r="B45" s="193">
        <v>182370.93381647</v>
      </c>
      <c r="D45" s="175">
        <f>'1.Reel GSYH '!D42</f>
        <v>0</v>
      </c>
      <c r="E45" s="72">
        <f>'1.Reel GSYH '!E42</f>
        <v>0</v>
      </c>
      <c r="F45" s="72">
        <f>'1.Reel GSYH '!F42</f>
        <v>0</v>
      </c>
      <c r="G45" s="72">
        <f>'1.Reel GSYH '!G42</f>
        <v>0</v>
      </c>
      <c r="H45" s="72">
        <f>'1.Reel GSYH '!H42</f>
        <v>0</v>
      </c>
      <c r="I45" s="176">
        <f>'1.Reel GSYH '!I42</f>
        <v>0</v>
      </c>
      <c r="J45" s="83"/>
      <c r="K45" s="173">
        <f t="shared" si="3"/>
        <v>0</v>
      </c>
      <c r="L45" s="77">
        <f t="shared" si="15"/>
        <v>0</v>
      </c>
      <c r="M45" s="77">
        <f t="shared" si="15"/>
        <v>0</v>
      </c>
      <c r="N45" s="77">
        <f t="shared" si="16"/>
        <v>0</v>
      </c>
      <c r="O45" s="77">
        <f t="shared" si="17"/>
        <v>0</v>
      </c>
      <c r="P45" s="79">
        <f t="shared" si="17"/>
        <v>0</v>
      </c>
      <c r="R45" s="81" t="e">
        <f t="shared" si="18"/>
        <v>#DIV/0!</v>
      </c>
      <c r="S45" s="77" t="e">
        <f t="shared" si="19"/>
        <v>#DIV/0!</v>
      </c>
      <c r="T45" s="77" t="e">
        <f t="shared" si="19"/>
        <v>#DIV/0!</v>
      </c>
      <c r="U45" s="77" t="e">
        <f t="shared" si="20"/>
        <v>#DIV/0!</v>
      </c>
      <c r="V45" s="78" t="e">
        <f t="shared" si="11"/>
        <v>#DIV/0!</v>
      </c>
      <c r="W45" s="77" t="e">
        <f t="shared" si="25"/>
        <v>#DIV/0!</v>
      </c>
      <c r="Y45" s="152">
        <f t="shared" si="12"/>
        <v>-7.0600679119170788</v>
      </c>
      <c r="Z45" s="77">
        <f t="shared" si="21"/>
        <v>0</v>
      </c>
      <c r="AA45" s="77">
        <f t="shared" si="22"/>
        <v>0</v>
      </c>
      <c r="AB45" s="77">
        <f t="shared" si="22"/>
        <v>0</v>
      </c>
      <c r="AC45" s="77">
        <f t="shared" si="23"/>
        <v>0</v>
      </c>
      <c r="AD45" s="77">
        <f t="shared" si="24"/>
        <v>0</v>
      </c>
      <c r="AE45" s="80">
        <f t="shared" si="24"/>
        <v>0</v>
      </c>
    </row>
    <row r="46" spans="1:31" ht="15.75" customHeight="1">
      <c r="A46" s="40" t="s">
        <v>34</v>
      </c>
      <c r="B46" s="193">
        <v>184653.82722596001</v>
      </c>
      <c r="D46" s="175">
        <f>'1.Reel GSYH '!D43</f>
        <v>0</v>
      </c>
      <c r="E46" s="72">
        <f>'1.Reel GSYH '!E43</f>
        <v>0</v>
      </c>
      <c r="F46" s="72">
        <f>'1.Reel GSYH '!F43</f>
        <v>0</v>
      </c>
      <c r="G46" s="72">
        <f>'1.Reel GSYH '!G43</f>
        <v>0</v>
      </c>
      <c r="H46" s="72">
        <f>'1.Reel GSYH '!H43</f>
        <v>0</v>
      </c>
      <c r="I46" s="176">
        <f>'1.Reel GSYH '!I43</f>
        <v>0</v>
      </c>
      <c r="J46" s="83"/>
      <c r="K46" s="173">
        <f t="shared" si="3"/>
        <v>0</v>
      </c>
      <c r="L46" s="77">
        <f t="shared" si="15"/>
        <v>0</v>
      </c>
      <c r="M46" s="77">
        <f t="shared" si="15"/>
        <v>0</v>
      </c>
      <c r="N46" s="77">
        <f t="shared" si="16"/>
        <v>0</v>
      </c>
      <c r="O46" s="77">
        <f t="shared" si="17"/>
        <v>0</v>
      </c>
      <c r="P46" s="79">
        <f t="shared" si="17"/>
        <v>0</v>
      </c>
      <c r="R46" s="81" t="e">
        <f t="shared" si="18"/>
        <v>#DIV/0!</v>
      </c>
      <c r="S46" s="77" t="e">
        <f t="shared" si="19"/>
        <v>#DIV/0!</v>
      </c>
      <c r="T46" s="77" t="e">
        <f t="shared" si="19"/>
        <v>#DIV/0!</v>
      </c>
      <c r="U46" s="77" t="e">
        <f t="shared" si="20"/>
        <v>#DIV/0!</v>
      </c>
      <c r="V46" s="78" t="e">
        <f t="shared" si="11"/>
        <v>#DIV/0!</v>
      </c>
      <c r="W46" s="77" t="e">
        <f t="shared" si="25"/>
        <v>#DIV/0!</v>
      </c>
      <c r="Y46" s="152">
        <f t="shared" si="12"/>
        <v>-7.2775891504939576</v>
      </c>
      <c r="Z46" s="77">
        <f t="shared" si="21"/>
        <v>0</v>
      </c>
      <c r="AA46" s="77">
        <f t="shared" si="22"/>
        <v>0</v>
      </c>
      <c r="AB46" s="77">
        <f t="shared" si="22"/>
        <v>0</v>
      </c>
      <c r="AC46" s="77">
        <f t="shared" si="23"/>
        <v>0</v>
      </c>
      <c r="AD46" s="77">
        <f t="shared" si="24"/>
        <v>0</v>
      </c>
      <c r="AE46" s="80">
        <f t="shared" si="24"/>
        <v>0</v>
      </c>
    </row>
    <row r="47" spans="1:31" ht="15.75" customHeight="1">
      <c r="A47" s="40" t="s">
        <v>35</v>
      </c>
      <c r="B47" s="193">
        <v>181546.29486113001</v>
      </c>
      <c r="D47" s="175">
        <f>'1.Reel GSYH '!D44</f>
        <v>0</v>
      </c>
      <c r="E47" s="72">
        <f>'1.Reel GSYH '!E44</f>
        <v>0</v>
      </c>
      <c r="F47" s="72">
        <f>'1.Reel GSYH '!F44</f>
        <v>0</v>
      </c>
      <c r="G47" s="72">
        <f>'1.Reel GSYH '!G44</f>
        <v>0</v>
      </c>
      <c r="H47" s="72">
        <f>'1.Reel GSYH '!H44</f>
        <v>0</v>
      </c>
      <c r="I47" s="176">
        <f>'1.Reel GSYH '!I44</f>
        <v>0</v>
      </c>
      <c r="J47" s="83"/>
      <c r="K47" s="173">
        <f t="shared" si="3"/>
        <v>0</v>
      </c>
      <c r="L47" s="77">
        <f t="shared" si="15"/>
        <v>0</v>
      </c>
      <c r="M47" s="77">
        <f t="shared" si="15"/>
        <v>0</v>
      </c>
      <c r="N47" s="77">
        <f t="shared" si="16"/>
        <v>0</v>
      </c>
      <c r="O47" s="77">
        <f t="shared" si="17"/>
        <v>0</v>
      </c>
      <c r="P47" s="79">
        <f t="shared" si="17"/>
        <v>0</v>
      </c>
      <c r="R47" s="81" t="e">
        <f t="shared" si="18"/>
        <v>#DIV/0!</v>
      </c>
      <c r="S47" s="77" t="e">
        <f t="shared" si="19"/>
        <v>#DIV/0!</v>
      </c>
      <c r="T47" s="77" t="e">
        <f t="shared" si="19"/>
        <v>#DIV/0!</v>
      </c>
      <c r="U47" s="77" t="e">
        <f t="shared" si="20"/>
        <v>#DIV/0!</v>
      </c>
      <c r="V47" s="78" t="e">
        <f t="shared" si="11"/>
        <v>#DIV/0!</v>
      </c>
      <c r="W47" s="77" t="e">
        <f t="shared" si="25"/>
        <v>#DIV/0!</v>
      </c>
      <c r="Y47" s="152">
        <f t="shared" si="12"/>
        <v>-10.129126141417299</v>
      </c>
      <c r="Z47" s="77">
        <f t="shared" si="21"/>
        <v>0</v>
      </c>
      <c r="AA47" s="77">
        <f t="shared" si="22"/>
        <v>0</v>
      </c>
      <c r="AB47" s="77">
        <f t="shared" si="22"/>
        <v>0</v>
      </c>
      <c r="AC47" s="77">
        <f t="shared" si="23"/>
        <v>0</v>
      </c>
      <c r="AD47" s="77">
        <f t="shared" si="24"/>
        <v>0</v>
      </c>
      <c r="AE47" s="80">
        <f t="shared" si="24"/>
        <v>0</v>
      </c>
    </row>
    <row r="48" spans="1:31" ht="15.75" customHeight="1">
      <c r="A48" s="40" t="s">
        <v>36</v>
      </c>
      <c r="B48" s="193">
        <v>188404.35599991001</v>
      </c>
      <c r="D48" s="175">
        <f>'1.Reel GSYH '!D45</f>
        <v>0</v>
      </c>
      <c r="E48" s="72">
        <f>'1.Reel GSYH '!E45</f>
        <v>0</v>
      </c>
      <c r="F48" s="72">
        <f>'1.Reel GSYH '!F45</f>
        <v>0</v>
      </c>
      <c r="G48" s="72">
        <f>'1.Reel GSYH '!G45</f>
        <v>0</v>
      </c>
      <c r="H48" s="72">
        <f>'1.Reel GSYH '!H45</f>
        <v>0</v>
      </c>
      <c r="I48" s="176">
        <f>'1.Reel GSYH '!I45</f>
        <v>0</v>
      </c>
      <c r="J48" s="83"/>
      <c r="K48" s="173">
        <f t="shared" si="3"/>
        <v>0</v>
      </c>
      <c r="L48" s="77">
        <f t="shared" si="15"/>
        <v>0</v>
      </c>
      <c r="M48" s="77">
        <f t="shared" si="15"/>
        <v>0</v>
      </c>
      <c r="N48" s="77">
        <f t="shared" si="16"/>
        <v>0</v>
      </c>
      <c r="O48" s="77">
        <f t="shared" si="17"/>
        <v>0</v>
      </c>
      <c r="P48" s="79">
        <f t="shared" si="17"/>
        <v>0</v>
      </c>
      <c r="R48" s="81" t="e">
        <f t="shared" si="18"/>
        <v>#DIV/0!</v>
      </c>
      <c r="S48" s="77" t="e">
        <f t="shared" si="19"/>
        <v>#DIV/0!</v>
      </c>
      <c r="T48" s="77" t="e">
        <f t="shared" si="19"/>
        <v>#DIV/0!</v>
      </c>
      <c r="U48" s="77" t="e">
        <f t="shared" si="20"/>
        <v>#DIV/0!</v>
      </c>
      <c r="V48" s="78" t="e">
        <f t="shared" si="11"/>
        <v>#DIV/0!</v>
      </c>
      <c r="W48" s="77" t="e">
        <f t="shared" si="25"/>
        <v>#DIV/0!</v>
      </c>
      <c r="Y48" s="152">
        <f t="shared" si="12"/>
        <v>-1.6959707845455974</v>
      </c>
      <c r="Z48" s="77">
        <f t="shared" si="21"/>
        <v>0</v>
      </c>
      <c r="AA48" s="77">
        <f t="shared" si="22"/>
        <v>0</v>
      </c>
      <c r="AB48" s="77">
        <f t="shared" si="22"/>
        <v>0</v>
      </c>
      <c r="AC48" s="77">
        <f t="shared" si="23"/>
        <v>0</v>
      </c>
      <c r="AD48" s="77">
        <f t="shared" si="24"/>
        <v>0</v>
      </c>
      <c r="AE48" s="80">
        <f t="shared" si="24"/>
        <v>0</v>
      </c>
    </row>
    <row r="49" spans="1:31" ht="15.75" customHeight="1">
      <c r="A49" s="40" t="s">
        <v>37</v>
      </c>
      <c r="B49" s="193">
        <v>196536.67073141001</v>
      </c>
      <c r="D49" s="175">
        <f>'1.Reel GSYH '!D46</f>
        <v>0</v>
      </c>
      <c r="E49" s="72">
        <f>'1.Reel GSYH '!E46</f>
        <v>0</v>
      </c>
      <c r="F49" s="72">
        <f>'1.Reel GSYH '!F46</f>
        <v>0</v>
      </c>
      <c r="G49" s="72">
        <f>'1.Reel GSYH '!G46</f>
        <v>0</v>
      </c>
      <c r="H49" s="72">
        <f>'1.Reel GSYH '!H46</f>
        <v>0</v>
      </c>
      <c r="I49" s="176">
        <f>'1.Reel GSYH '!I46</f>
        <v>0</v>
      </c>
      <c r="J49" s="83"/>
      <c r="K49" s="173">
        <f t="shared" si="3"/>
        <v>0</v>
      </c>
      <c r="L49" s="77">
        <f t="shared" si="15"/>
        <v>0</v>
      </c>
      <c r="M49" s="77">
        <f t="shared" si="15"/>
        <v>0</v>
      </c>
      <c r="N49" s="77">
        <f t="shared" si="16"/>
        <v>0</v>
      </c>
      <c r="O49" s="77">
        <f t="shared" si="17"/>
        <v>0</v>
      </c>
      <c r="P49" s="79">
        <f t="shared" si="17"/>
        <v>0</v>
      </c>
      <c r="R49" s="81" t="e">
        <f t="shared" si="18"/>
        <v>#DIV/0!</v>
      </c>
      <c r="S49" s="77" t="e">
        <f t="shared" si="19"/>
        <v>#DIV/0!</v>
      </c>
      <c r="T49" s="77" t="e">
        <f t="shared" si="19"/>
        <v>#DIV/0!</v>
      </c>
      <c r="U49" s="77" t="e">
        <f t="shared" si="20"/>
        <v>#DIV/0!</v>
      </c>
      <c r="V49" s="78" t="e">
        <f t="shared" si="11"/>
        <v>#DIV/0!</v>
      </c>
      <c r="W49" s="77" t="e">
        <f t="shared" si="25"/>
        <v>#DIV/0!</v>
      </c>
      <c r="Y49" s="152">
        <f t="shared" si="12"/>
        <v>7.7675409225001601</v>
      </c>
      <c r="Z49" s="77">
        <f t="shared" si="21"/>
        <v>0</v>
      </c>
      <c r="AA49" s="77">
        <f t="shared" si="22"/>
        <v>0</v>
      </c>
      <c r="AB49" s="77">
        <f t="shared" si="22"/>
        <v>0</v>
      </c>
      <c r="AC49" s="77">
        <f t="shared" si="23"/>
        <v>0</v>
      </c>
      <c r="AD49" s="77">
        <f t="shared" si="24"/>
        <v>0</v>
      </c>
      <c r="AE49" s="80">
        <f t="shared" si="24"/>
        <v>0</v>
      </c>
    </row>
    <row r="50" spans="1:31" ht="15.75" customHeight="1">
      <c r="A50" s="40" t="s">
        <v>38</v>
      </c>
      <c r="B50" s="193">
        <v>199222.28149867</v>
      </c>
      <c r="D50" s="175">
        <f>'1.Reel GSYH '!D47</f>
        <v>0</v>
      </c>
      <c r="E50" s="72">
        <f>'1.Reel GSYH '!E47</f>
        <v>0</v>
      </c>
      <c r="F50" s="72">
        <f>'1.Reel GSYH '!F47</f>
        <v>0</v>
      </c>
      <c r="G50" s="72">
        <f>'1.Reel GSYH '!G47</f>
        <v>0</v>
      </c>
      <c r="H50" s="72">
        <f>'1.Reel GSYH '!H47</f>
        <v>0</v>
      </c>
      <c r="I50" s="176">
        <f>'1.Reel GSYH '!I47</f>
        <v>0</v>
      </c>
      <c r="J50" s="83"/>
      <c r="K50" s="173">
        <f t="shared" si="3"/>
        <v>0</v>
      </c>
      <c r="L50" s="77">
        <f t="shared" si="15"/>
        <v>0</v>
      </c>
      <c r="M50" s="77">
        <f t="shared" si="15"/>
        <v>0</v>
      </c>
      <c r="N50" s="77">
        <f t="shared" si="16"/>
        <v>0</v>
      </c>
      <c r="O50" s="77">
        <f t="shared" si="17"/>
        <v>0</v>
      </c>
      <c r="P50" s="79">
        <f t="shared" si="17"/>
        <v>0</v>
      </c>
      <c r="R50" s="81" t="e">
        <f t="shared" si="18"/>
        <v>#DIV/0!</v>
      </c>
      <c r="S50" s="77" t="e">
        <f t="shared" si="19"/>
        <v>#DIV/0!</v>
      </c>
      <c r="T50" s="77" t="e">
        <f t="shared" si="19"/>
        <v>#DIV/0!</v>
      </c>
      <c r="U50" s="77" t="e">
        <f t="shared" si="20"/>
        <v>#DIV/0!</v>
      </c>
      <c r="V50" s="78" t="e">
        <f t="shared" si="11"/>
        <v>#DIV/0!</v>
      </c>
      <c r="W50" s="77" t="e">
        <f t="shared" si="25"/>
        <v>#DIV/0!</v>
      </c>
      <c r="Y50" s="152">
        <f t="shared" si="12"/>
        <v>7.8896032059398546</v>
      </c>
      <c r="Z50" s="77">
        <f t="shared" si="21"/>
        <v>0</v>
      </c>
      <c r="AA50" s="77">
        <f t="shared" si="22"/>
        <v>0</v>
      </c>
      <c r="AB50" s="77">
        <f t="shared" si="22"/>
        <v>0</v>
      </c>
      <c r="AC50" s="77">
        <f t="shared" si="23"/>
        <v>0</v>
      </c>
      <c r="AD50" s="77">
        <f t="shared" si="24"/>
        <v>0</v>
      </c>
      <c r="AE50" s="80">
        <f t="shared" si="24"/>
        <v>0</v>
      </c>
    </row>
    <row r="51" spans="1:31" ht="15.75" customHeight="1">
      <c r="A51" s="40" t="s">
        <v>39</v>
      </c>
      <c r="B51" s="193">
        <v>203472.95841523001</v>
      </c>
      <c r="D51" s="175">
        <f>'1.Reel GSYH '!D48</f>
        <v>0</v>
      </c>
      <c r="E51" s="72">
        <f>'1.Reel GSYH '!E48</f>
        <v>0</v>
      </c>
      <c r="F51" s="72">
        <f>'1.Reel GSYH '!F48</f>
        <v>0</v>
      </c>
      <c r="G51" s="72">
        <f>'1.Reel GSYH '!G48</f>
        <v>0</v>
      </c>
      <c r="H51" s="72">
        <f>'1.Reel GSYH '!H48</f>
        <v>0</v>
      </c>
      <c r="I51" s="176">
        <f>'1.Reel GSYH '!I48</f>
        <v>0</v>
      </c>
      <c r="J51" s="83"/>
      <c r="K51" s="173">
        <f t="shared" si="3"/>
        <v>0</v>
      </c>
      <c r="L51" s="77">
        <f t="shared" si="15"/>
        <v>0</v>
      </c>
      <c r="M51" s="77">
        <f t="shared" si="15"/>
        <v>0</v>
      </c>
      <c r="N51" s="77">
        <f t="shared" si="16"/>
        <v>0</v>
      </c>
      <c r="O51" s="77">
        <f t="shared" si="17"/>
        <v>0</v>
      </c>
      <c r="P51" s="79">
        <f t="shared" si="17"/>
        <v>0</v>
      </c>
      <c r="R51" s="81" t="e">
        <f t="shared" si="18"/>
        <v>#DIV/0!</v>
      </c>
      <c r="S51" s="77" t="e">
        <f t="shared" si="19"/>
        <v>#DIV/0!</v>
      </c>
      <c r="T51" s="77" t="e">
        <f t="shared" si="19"/>
        <v>#DIV/0!</v>
      </c>
      <c r="U51" s="77" t="e">
        <f t="shared" si="20"/>
        <v>#DIV/0!</v>
      </c>
      <c r="V51" s="78" t="e">
        <f t="shared" si="11"/>
        <v>#DIV/0!</v>
      </c>
      <c r="W51" s="77" t="e">
        <f t="shared" si="25"/>
        <v>#DIV/0!</v>
      </c>
      <c r="Y51" s="152">
        <f t="shared" si="12"/>
        <v>12.077725723277544</v>
      </c>
      <c r="Z51" s="77">
        <f t="shared" si="21"/>
        <v>0</v>
      </c>
      <c r="AA51" s="77">
        <f t="shared" si="22"/>
        <v>0</v>
      </c>
      <c r="AB51" s="77">
        <f t="shared" si="22"/>
        <v>0</v>
      </c>
      <c r="AC51" s="77">
        <f t="shared" si="23"/>
        <v>0</v>
      </c>
      <c r="AD51" s="77">
        <f t="shared" si="24"/>
        <v>0</v>
      </c>
      <c r="AE51" s="80">
        <f t="shared" si="24"/>
        <v>0</v>
      </c>
    </row>
    <row r="52" spans="1:31" ht="15.75" customHeight="1">
      <c r="A52" s="40" t="s">
        <v>40</v>
      </c>
      <c r="B52" s="193">
        <v>203643.06322807999</v>
      </c>
      <c r="D52" s="175">
        <f>'1.Reel GSYH '!D49</f>
        <v>0</v>
      </c>
      <c r="E52" s="72">
        <f>'1.Reel GSYH '!E49</f>
        <v>0</v>
      </c>
      <c r="F52" s="72">
        <f>'1.Reel GSYH '!F49</f>
        <v>0</v>
      </c>
      <c r="G52" s="72">
        <f>'1.Reel GSYH '!G49</f>
        <v>0</v>
      </c>
      <c r="H52" s="72">
        <f>'1.Reel GSYH '!H49</f>
        <v>0</v>
      </c>
      <c r="I52" s="176">
        <f>'1.Reel GSYH '!I49</f>
        <v>0</v>
      </c>
      <c r="J52" s="83"/>
      <c r="K52" s="173">
        <f t="shared" si="3"/>
        <v>0</v>
      </c>
      <c r="L52" s="77">
        <f t="shared" si="15"/>
        <v>0</v>
      </c>
      <c r="M52" s="77">
        <f t="shared" si="15"/>
        <v>0</v>
      </c>
      <c r="N52" s="77">
        <f t="shared" si="16"/>
        <v>0</v>
      </c>
      <c r="O52" s="77">
        <f t="shared" si="17"/>
        <v>0</v>
      </c>
      <c r="P52" s="79">
        <f t="shared" si="17"/>
        <v>0</v>
      </c>
      <c r="R52" s="81" t="e">
        <f t="shared" si="18"/>
        <v>#DIV/0!</v>
      </c>
      <c r="S52" s="77" t="e">
        <f t="shared" si="19"/>
        <v>#DIV/0!</v>
      </c>
      <c r="T52" s="77" t="e">
        <f t="shared" si="19"/>
        <v>#DIV/0!</v>
      </c>
      <c r="U52" s="77" t="e">
        <f t="shared" si="20"/>
        <v>#DIV/0!</v>
      </c>
      <c r="V52" s="78" t="e">
        <f t="shared" si="11"/>
        <v>#DIV/0!</v>
      </c>
      <c r="W52" s="77" t="e">
        <f t="shared" si="25"/>
        <v>#DIV/0!</v>
      </c>
      <c r="Y52" s="152">
        <f t="shared" si="12"/>
        <v>8.0882987801923498</v>
      </c>
      <c r="Z52" s="77">
        <f t="shared" si="21"/>
        <v>0</v>
      </c>
      <c r="AA52" s="77">
        <f t="shared" si="22"/>
        <v>0</v>
      </c>
      <c r="AB52" s="77">
        <f t="shared" si="22"/>
        <v>0</v>
      </c>
      <c r="AC52" s="77">
        <f t="shared" si="23"/>
        <v>0</v>
      </c>
      <c r="AD52" s="77">
        <f t="shared" si="24"/>
        <v>0</v>
      </c>
      <c r="AE52" s="80">
        <f t="shared" si="24"/>
        <v>0</v>
      </c>
    </row>
    <row r="53" spans="1:31" ht="15.75" customHeight="1">
      <c r="A53" s="40" t="s">
        <v>41</v>
      </c>
      <c r="B53" s="193">
        <v>204327.96979065999</v>
      </c>
      <c r="D53" s="175">
        <f>'1.Reel GSYH '!D50</f>
        <v>0</v>
      </c>
      <c r="E53" s="72">
        <f>'1.Reel GSYH '!E50</f>
        <v>0</v>
      </c>
      <c r="F53" s="72">
        <f>'1.Reel GSYH '!F50</f>
        <v>0</v>
      </c>
      <c r="G53" s="72">
        <f>'1.Reel GSYH '!G50</f>
        <v>0</v>
      </c>
      <c r="H53" s="72">
        <f>'1.Reel GSYH '!H50</f>
        <v>0</v>
      </c>
      <c r="I53" s="176">
        <f>'1.Reel GSYH '!I50</f>
        <v>0</v>
      </c>
      <c r="J53" s="83"/>
      <c r="K53" s="173">
        <f t="shared" si="3"/>
        <v>0</v>
      </c>
      <c r="L53" s="77">
        <f t="shared" si="15"/>
        <v>0</v>
      </c>
      <c r="M53" s="77">
        <f t="shared" si="15"/>
        <v>0</v>
      </c>
      <c r="N53" s="77">
        <f t="shared" si="16"/>
        <v>0</v>
      </c>
      <c r="O53" s="77">
        <f t="shared" si="17"/>
        <v>0</v>
      </c>
      <c r="P53" s="79">
        <f t="shared" si="17"/>
        <v>0</v>
      </c>
      <c r="R53" s="81" t="e">
        <f t="shared" si="18"/>
        <v>#DIV/0!</v>
      </c>
      <c r="S53" s="77" t="e">
        <f t="shared" si="19"/>
        <v>#DIV/0!</v>
      </c>
      <c r="T53" s="77" t="e">
        <f t="shared" si="19"/>
        <v>#DIV/0!</v>
      </c>
      <c r="U53" s="77" t="e">
        <f t="shared" si="20"/>
        <v>#DIV/0!</v>
      </c>
      <c r="V53" s="78" t="e">
        <f t="shared" si="11"/>
        <v>#DIV/0!</v>
      </c>
      <c r="W53" s="77" t="e">
        <f t="shared" si="25"/>
        <v>#DIV/0!</v>
      </c>
      <c r="Y53" s="152">
        <f t="shared" si="12"/>
        <v>3.9642978739055312</v>
      </c>
      <c r="Z53" s="77">
        <f t="shared" si="21"/>
        <v>0</v>
      </c>
      <c r="AA53" s="77">
        <f t="shared" si="22"/>
        <v>0</v>
      </c>
      <c r="AB53" s="77">
        <f t="shared" si="22"/>
        <v>0</v>
      </c>
      <c r="AC53" s="77">
        <f t="shared" si="23"/>
        <v>0</v>
      </c>
      <c r="AD53" s="77">
        <f t="shared" si="24"/>
        <v>0</v>
      </c>
      <c r="AE53" s="80">
        <f t="shared" si="24"/>
        <v>0</v>
      </c>
    </row>
    <row r="54" spans="1:31" ht="15.75" customHeight="1">
      <c r="A54" s="40" t="s">
        <v>42</v>
      </c>
      <c r="B54" s="193">
        <v>210153.79421806001</v>
      </c>
      <c r="D54" s="175">
        <f>'1.Reel GSYH '!D51</f>
        <v>0</v>
      </c>
      <c r="E54" s="72">
        <f>'1.Reel GSYH '!E51</f>
        <v>0</v>
      </c>
      <c r="F54" s="72">
        <f>'1.Reel GSYH '!F51</f>
        <v>0</v>
      </c>
      <c r="G54" s="72">
        <f>'1.Reel GSYH '!G51</f>
        <v>0</v>
      </c>
      <c r="H54" s="72">
        <f>'1.Reel GSYH '!H51</f>
        <v>0</v>
      </c>
      <c r="I54" s="176">
        <f>'1.Reel GSYH '!I51</f>
        <v>0</v>
      </c>
      <c r="J54" s="83"/>
      <c r="K54" s="173">
        <f t="shared" si="3"/>
        <v>0</v>
      </c>
      <c r="L54" s="77">
        <f t="shared" si="15"/>
        <v>0</v>
      </c>
      <c r="M54" s="77">
        <f t="shared" si="15"/>
        <v>0</v>
      </c>
      <c r="N54" s="77">
        <f t="shared" si="16"/>
        <v>0</v>
      </c>
      <c r="O54" s="77">
        <f t="shared" si="17"/>
        <v>0</v>
      </c>
      <c r="P54" s="79">
        <f t="shared" si="17"/>
        <v>0</v>
      </c>
      <c r="R54" s="81" t="e">
        <f t="shared" si="18"/>
        <v>#DIV/0!</v>
      </c>
      <c r="S54" s="77" t="e">
        <f t="shared" si="19"/>
        <v>#DIV/0!</v>
      </c>
      <c r="T54" s="77" t="e">
        <f t="shared" si="19"/>
        <v>#DIV/0!</v>
      </c>
      <c r="U54" s="77" t="e">
        <f t="shared" si="20"/>
        <v>#DIV/0!</v>
      </c>
      <c r="V54" s="78" t="e">
        <f t="shared" si="11"/>
        <v>#DIV/0!</v>
      </c>
      <c r="W54" s="77" t="e">
        <f t="shared" si="25"/>
        <v>#DIV/0!</v>
      </c>
      <c r="Y54" s="152">
        <f t="shared" si="12"/>
        <v>5.4870934300905505</v>
      </c>
      <c r="Z54" s="77">
        <f t="shared" si="21"/>
        <v>0</v>
      </c>
      <c r="AA54" s="77">
        <f t="shared" si="22"/>
        <v>0</v>
      </c>
      <c r="AB54" s="77">
        <f t="shared" si="22"/>
        <v>0</v>
      </c>
      <c r="AC54" s="77">
        <f t="shared" si="23"/>
        <v>0</v>
      </c>
      <c r="AD54" s="77">
        <f t="shared" si="24"/>
        <v>0</v>
      </c>
      <c r="AE54" s="80">
        <f t="shared" si="24"/>
        <v>0</v>
      </c>
    </row>
    <row r="55" spans="1:31" ht="15.75" customHeight="1">
      <c r="A55" s="40" t="s">
        <v>43</v>
      </c>
      <c r="B55" s="193">
        <v>216506.77089895</v>
      </c>
      <c r="D55" s="175">
        <f>'1.Reel GSYH '!D52</f>
        <v>0</v>
      </c>
      <c r="E55" s="72">
        <f>'1.Reel GSYH '!E52</f>
        <v>0</v>
      </c>
      <c r="F55" s="72">
        <f>'1.Reel GSYH '!F52</f>
        <v>0</v>
      </c>
      <c r="G55" s="72">
        <f>'1.Reel GSYH '!G52</f>
        <v>0</v>
      </c>
      <c r="H55" s="72">
        <f>'1.Reel GSYH '!H52</f>
        <v>0</v>
      </c>
      <c r="I55" s="176">
        <f>'1.Reel GSYH '!I52</f>
        <v>0</v>
      </c>
      <c r="J55" s="83"/>
      <c r="K55" s="173">
        <f t="shared" si="3"/>
        <v>0</v>
      </c>
      <c r="L55" s="77">
        <f t="shared" si="15"/>
        <v>0</v>
      </c>
      <c r="M55" s="77">
        <f t="shared" si="15"/>
        <v>0</v>
      </c>
      <c r="N55" s="77">
        <f t="shared" si="16"/>
        <v>0</v>
      </c>
      <c r="O55" s="77">
        <f t="shared" si="17"/>
        <v>0</v>
      </c>
      <c r="P55" s="79">
        <f t="shared" si="17"/>
        <v>0</v>
      </c>
      <c r="R55" s="81" t="e">
        <f t="shared" si="18"/>
        <v>#DIV/0!</v>
      </c>
      <c r="S55" s="77" t="e">
        <f t="shared" si="19"/>
        <v>#DIV/0!</v>
      </c>
      <c r="T55" s="77" t="e">
        <f t="shared" si="19"/>
        <v>#DIV/0!</v>
      </c>
      <c r="U55" s="77" t="e">
        <f t="shared" si="20"/>
        <v>#DIV/0!</v>
      </c>
      <c r="V55" s="78" t="e">
        <f t="shared" si="11"/>
        <v>#DIV/0!</v>
      </c>
      <c r="W55" s="77" t="e">
        <f t="shared" si="25"/>
        <v>#DIV/0!</v>
      </c>
      <c r="Y55" s="152">
        <f t="shared" si="12"/>
        <v>6.4056730610471124</v>
      </c>
      <c r="Z55" s="77">
        <f t="shared" si="21"/>
        <v>0</v>
      </c>
      <c r="AA55" s="77">
        <f t="shared" si="22"/>
        <v>0</v>
      </c>
      <c r="AB55" s="77">
        <f t="shared" si="22"/>
        <v>0</v>
      </c>
      <c r="AC55" s="77">
        <f t="shared" si="23"/>
        <v>0</v>
      </c>
      <c r="AD55" s="77">
        <f t="shared" si="24"/>
        <v>0</v>
      </c>
      <c r="AE55" s="80">
        <f t="shared" si="24"/>
        <v>0</v>
      </c>
    </row>
    <row r="56" spans="1:31" ht="15.75" customHeight="1">
      <c r="A56" s="40" t="s">
        <v>44</v>
      </c>
      <c r="B56" s="193">
        <v>222469.98007359999</v>
      </c>
      <c r="D56" s="175">
        <f>'1.Reel GSYH '!D53</f>
        <v>0</v>
      </c>
      <c r="E56" s="72">
        <f>'1.Reel GSYH '!E53</f>
        <v>0</v>
      </c>
      <c r="F56" s="72">
        <f>'1.Reel GSYH '!F53</f>
        <v>0</v>
      </c>
      <c r="G56" s="72">
        <f>'1.Reel GSYH '!G53</f>
        <v>0</v>
      </c>
      <c r="H56" s="72">
        <f>'1.Reel GSYH '!H53</f>
        <v>0</v>
      </c>
      <c r="I56" s="176">
        <f>'1.Reel GSYH '!I53</f>
        <v>0</v>
      </c>
      <c r="J56" s="83"/>
      <c r="K56" s="173">
        <f t="shared" si="3"/>
        <v>0</v>
      </c>
      <c r="L56" s="77">
        <f t="shared" si="15"/>
        <v>0</v>
      </c>
      <c r="M56" s="77">
        <f t="shared" si="15"/>
        <v>0</v>
      </c>
      <c r="N56" s="77">
        <f t="shared" si="16"/>
        <v>0</v>
      </c>
      <c r="O56" s="77">
        <f t="shared" si="17"/>
        <v>0</v>
      </c>
      <c r="P56" s="79">
        <f t="shared" si="17"/>
        <v>0</v>
      </c>
      <c r="R56" s="81" t="e">
        <f t="shared" si="18"/>
        <v>#DIV/0!</v>
      </c>
      <c r="S56" s="77" t="e">
        <f t="shared" si="19"/>
        <v>#DIV/0!</v>
      </c>
      <c r="T56" s="77" t="e">
        <f t="shared" si="19"/>
        <v>#DIV/0!</v>
      </c>
      <c r="U56" s="77" t="e">
        <f t="shared" si="20"/>
        <v>#DIV/0!</v>
      </c>
      <c r="V56" s="78" t="e">
        <f t="shared" si="11"/>
        <v>#DIV/0!</v>
      </c>
      <c r="W56" s="77" t="e">
        <f t="shared" si="25"/>
        <v>#DIV/0!</v>
      </c>
      <c r="Y56" s="152">
        <f t="shared" si="12"/>
        <v>9.2450567905835612</v>
      </c>
      <c r="Z56" s="77">
        <f t="shared" si="21"/>
        <v>0</v>
      </c>
      <c r="AA56" s="77">
        <f t="shared" si="22"/>
        <v>0</v>
      </c>
      <c r="AB56" s="77">
        <f t="shared" si="22"/>
        <v>0</v>
      </c>
      <c r="AC56" s="77">
        <f t="shared" si="23"/>
        <v>0</v>
      </c>
      <c r="AD56" s="77">
        <f t="shared" si="24"/>
        <v>0</v>
      </c>
      <c r="AE56" s="80">
        <f t="shared" si="24"/>
        <v>0</v>
      </c>
    </row>
    <row r="57" spans="1:31" ht="15.75" customHeight="1">
      <c r="A57" s="40" t="s">
        <v>45</v>
      </c>
      <c r="B57" s="193">
        <v>227649.75060224999</v>
      </c>
      <c r="D57" s="175">
        <f>'1.Reel GSYH '!D54</f>
        <v>0</v>
      </c>
      <c r="E57" s="72">
        <f>'1.Reel GSYH '!E54</f>
        <v>0</v>
      </c>
      <c r="F57" s="72">
        <f>'1.Reel GSYH '!F54</f>
        <v>0</v>
      </c>
      <c r="G57" s="72">
        <f>'1.Reel GSYH '!G54</f>
        <v>0</v>
      </c>
      <c r="H57" s="72">
        <f>'1.Reel GSYH '!H54</f>
        <v>0</v>
      </c>
      <c r="I57" s="176">
        <f>'1.Reel GSYH '!I54</f>
        <v>0</v>
      </c>
      <c r="J57" s="83"/>
      <c r="K57" s="173">
        <f t="shared" si="3"/>
        <v>0</v>
      </c>
      <c r="L57" s="77">
        <f t="shared" si="15"/>
        <v>0</v>
      </c>
      <c r="M57" s="77">
        <f t="shared" si="15"/>
        <v>0</v>
      </c>
      <c r="N57" s="77">
        <f t="shared" si="16"/>
        <v>0</v>
      </c>
      <c r="O57" s="77">
        <f t="shared" si="17"/>
        <v>0</v>
      </c>
      <c r="P57" s="79">
        <f t="shared" si="17"/>
        <v>0</v>
      </c>
      <c r="R57" s="81" t="e">
        <f t="shared" si="18"/>
        <v>#DIV/0!</v>
      </c>
      <c r="S57" s="77" t="e">
        <f t="shared" si="19"/>
        <v>#DIV/0!</v>
      </c>
      <c r="T57" s="77" t="e">
        <f t="shared" si="19"/>
        <v>#DIV/0!</v>
      </c>
      <c r="U57" s="77" t="e">
        <f t="shared" si="20"/>
        <v>#DIV/0!</v>
      </c>
      <c r="V57" s="78" t="e">
        <f t="shared" si="11"/>
        <v>#DIV/0!</v>
      </c>
      <c r="W57" s="77" t="e">
        <f t="shared" si="25"/>
        <v>#DIV/0!</v>
      </c>
      <c r="Y57" s="152">
        <f t="shared" si="12"/>
        <v>11.413895432663402</v>
      </c>
      <c r="Z57" s="77">
        <f t="shared" si="21"/>
        <v>0</v>
      </c>
      <c r="AA57" s="77">
        <f t="shared" si="22"/>
        <v>0</v>
      </c>
      <c r="AB57" s="77">
        <f t="shared" si="22"/>
        <v>0</v>
      </c>
      <c r="AC57" s="77">
        <f t="shared" si="23"/>
        <v>0</v>
      </c>
      <c r="AD57" s="77">
        <f t="shared" si="24"/>
        <v>0</v>
      </c>
      <c r="AE57" s="80">
        <f t="shared" si="24"/>
        <v>0</v>
      </c>
    </row>
    <row r="58" spans="1:31" ht="15.75" customHeight="1">
      <c r="A58" s="40" t="s">
        <v>46</v>
      </c>
      <c r="B58" s="193">
        <v>230217.02633429001</v>
      </c>
      <c r="D58" s="175">
        <f>'1.Reel GSYH '!D55</f>
        <v>0</v>
      </c>
      <c r="E58" s="72">
        <f>'1.Reel GSYH '!E55</f>
        <v>0</v>
      </c>
      <c r="F58" s="72">
        <f>'1.Reel GSYH '!F55</f>
        <v>0</v>
      </c>
      <c r="G58" s="72">
        <f>'1.Reel GSYH '!G55</f>
        <v>0</v>
      </c>
      <c r="H58" s="72">
        <f>'1.Reel GSYH '!H55</f>
        <v>0</v>
      </c>
      <c r="I58" s="176">
        <f>'1.Reel GSYH '!I55</f>
        <v>0</v>
      </c>
      <c r="J58" s="83"/>
      <c r="K58" s="173">
        <f t="shared" si="3"/>
        <v>0</v>
      </c>
      <c r="L58" s="77">
        <f t="shared" si="15"/>
        <v>0</v>
      </c>
      <c r="M58" s="77">
        <f t="shared" si="15"/>
        <v>0</v>
      </c>
      <c r="N58" s="77">
        <f t="shared" si="16"/>
        <v>0</v>
      </c>
      <c r="O58" s="77">
        <f t="shared" si="17"/>
        <v>0</v>
      </c>
      <c r="P58" s="79">
        <f t="shared" si="17"/>
        <v>0</v>
      </c>
      <c r="R58" s="81" t="e">
        <f t="shared" si="18"/>
        <v>#DIV/0!</v>
      </c>
      <c r="S58" s="77" t="e">
        <f t="shared" si="19"/>
        <v>#DIV/0!</v>
      </c>
      <c r="T58" s="77" t="e">
        <f t="shared" si="19"/>
        <v>#DIV/0!</v>
      </c>
      <c r="U58" s="77" t="e">
        <f t="shared" si="20"/>
        <v>#DIV/0!</v>
      </c>
      <c r="V58" s="78" t="e">
        <f t="shared" si="11"/>
        <v>#DIV/0!</v>
      </c>
      <c r="W58" s="77" t="e">
        <f t="shared" si="25"/>
        <v>#DIV/0!</v>
      </c>
      <c r="Y58" s="152">
        <f t="shared" si="12"/>
        <v>9.5469283297411991</v>
      </c>
      <c r="Z58" s="77">
        <f t="shared" si="21"/>
        <v>0</v>
      </c>
      <c r="AA58" s="77">
        <f t="shared" si="22"/>
        <v>0</v>
      </c>
      <c r="AB58" s="77">
        <f t="shared" si="22"/>
        <v>0</v>
      </c>
      <c r="AC58" s="77">
        <f t="shared" si="23"/>
        <v>0</v>
      </c>
      <c r="AD58" s="77">
        <f t="shared" si="24"/>
        <v>0</v>
      </c>
      <c r="AE58" s="80">
        <f t="shared" si="24"/>
        <v>0</v>
      </c>
    </row>
    <row r="59" spans="1:31" ht="15.75" customHeight="1">
      <c r="A59" s="40" t="s">
        <v>47</v>
      </c>
      <c r="B59" s="193">
        <v>233952.26230602001</v>
      </c>
      <c r="D59" s="175">
        <f>'1.Reel GSYH '!D56</f>
        <v>0</v>
      </c>
      <c r="E59" s="72">
        <f>'1.Reel GSYH '!E56</f>
        <v>0</v>
      </c>
      <c r="F59" s="72">
        <f>'1.Reel GSYH '!F56</f>
        <v>0</v>
      </c>
      <c r="G59" s="72">
        <f>'1.Reel GSYH '!G56</f>
        <v>0</v>
      </c>
      <c r="H59" s="72">
        <f>'1.Reel GSYH '!H56</f>
        <v>0</v>
      </c>
      <c r="I59" s="176">
        <f>'1.Reel GSYH '!I56</f>
        <v>0</v>
      </c>
      <c r="J59" s="83"/>
      <c r="K59" s="173">
        <f t="shared" si="3"/>
        <v>0</v>
      </c>
      <c r="L59" s="77">
        <f t="shared" si="15"/>
        <v>0</v>
      </c>
      <c r="M59" s="77">
        <f t="shared" si="15"/>
        <v>0</v>
      </c>
      <c r="N59" s="77">
        <f t="shared" si="16"/>
        <v>0</v>
      </c>
      <c r="O59" s="77">
        <f t="shared" si="17"/>
        <v>0</v>
      </c>
      <c r="P59" s="79">
        <f t="shared" si="17"/>
        <v>0</v>
      </c>
      <c r="R59" s="81" t="e">
        <f t="shared" si="18"/>
        <v>#DIV/0!</v>
      </c>
      <c r="S59" s="77" t="e">
        <f t="shared" si="19"/>
        <v>#DIV/0!</v>
      </c>
      <c r="T59" s="77" t="e">
        <f t="shared" si="19"/>
        <v>#DIV/0!</v>
      </c>
      <c r="U59" s="77" t="e">
        <f t="shared" si="20"/>
        <v>#DIV/0!</v>
      </c>
      <c r="V59" s="78" t="e">
        <f t="shared" si="11"/>
        <v>#DIV/0!</v>
      </c>
      <c r="W59" s="77" t="e">
        <f t="shared" si="25"/>
        <v>#DIV/0!</v>
      </c>
      <c r="Y59" s="152">
        <f t="shared" si="12"/>
        <v>8.0577116986388919</v>
      </c>
      <c r="Z59" s="77">
        <f t="shared" si="21"/>
        <v>0</v>
      </c>
      <c r="AA59" s="77">
        <f t="shared" si="22"/>
        <v>0</v>
      </c>
      <c r="AB59" s="77">
        <f t="shared" si="22"/>
        <v>0</v>
      </c>
      <c r="AC59" s="77">
        <f t="shared" si="23"/>
        <v>0</v>
      </c>
      <c r="AD59" s="77">
        <f t="shared" si="24"/>
        <v>0</v>
      </c>
      <c r="AE59" s="80">
        <f t="shared" si="24"/>
        <v>0</v>
      </c>
    </row>
    <row r="60" spans="1:31" ht="15.75" customHeight="1">
      <c r="A60" s="40" t="s">
        <v>48</v>
      </c>
      <c r="B60" s="193">
        <v>244737.34839167999</v>
      </c>
      <c r="D60" s="175">
        <f>'1.Reel GSYH '!D57</f>
        <v>0</v>
      </c>
      <c r="E60" s="72">
        <f>'1.Reel GSYH '!E57</f>
        <v>0</v>
      </c>
      <c r="F60" s="72">
        <f>'1.Reel GSYH '!F57</f>
        <v>0</v>
      </c>
      <c r="G60" s="72">
        <f>'1.Reel GSYH '!G57</f>
        <v>0</v>
      </c>
      <c r="H60" s="72">
        <f>'1.Reel GSYH '!H57</f>
        <v>0</v>
      </c>
      <c r="I60" s="176">
        <f>'1.Reel GSYH '!I57</f>
        <v>0</v>
      </c>
      <c r="J60" s="83"/>
      <c r="K60" s="173">
        <f t="shared" si="3"/>
        <v>0</v>
      </c>
      <c r="L60" s="77">
        <f t="shared" si="15"/>
        <v>0</v>
      </c>
      <c r="M60" s="77">
        <f t="shared" si="15"/>
        <v>0</v>
      </c>
      <c r="N60" s="77">
        <f t="shared" si="16"/>
        <v>0</v>
      </c>
      <c r="O60" s="77">
        <f t="shared" si="17"/>
        <v>0</v>
      </c>
      <c r="P60" s="79">
        <f t="shared" si="17"/>
        <v>0</v>
      </c>
      <c r="R60" s="81" t="e">
        <f t="shared" si="18"/>
        <v>#DIV/0!</v>
      </c>
      <c r="S60" s="77" t="e">
        <f t="shared" si="19"/>
        <v>#DIV/0!</v>
      </c>
      <c r="T60" s="77" t="e">
        <f t="shared" si="19"/>
        <v>#DIV/0!</v>
      </c>
      <c r="U60" s="77" t="e">
        <f t="shared" si="20"/>
        <v>#DIV/0!</v>
      </c>
      <c r="V60" s="78" t="e">
        <f t="shared" si="11"/>
        <v>#DIV/0!</v>
      </c>
      <c r="W60" s="77" t="e">
        <f t="shared" si="25"/>
        <v>#DIV/0!</v>
      </c>
      <c r="Y60" s="152">
        <f t="shared" si="12"/>
        <v>10.009156431224241</v>
      </c>
      <c r="Z60" s="77">
        <f t="shared" si="21"/>
        <v>0</v>
      </c>
      <c r="AA60" s="77">
        <f t="shared" si="22"/>
        <v>0</v>
      </c>
      <c r="AB60" s="77">
        <f t="shared" si="22"/>
        <v>0</v>
      </c>
      <c r="AC60" s="77">
        <f t="shared" si="23"/>
        <v>0</v>
      </c>
      <c r="AD60" s="77">
        <f t="shared" si="24"/>
        <v>0</v>
      </c>
      <c r="AE60" s="80">
        <f t="shared" si="24"/>
        <v>0</v>
      </c>
    </row>
    <row r="61" spans="1:31" ht="15.75" customHeight="1">
      <c r="A61" s="40" t="s">
        <v>49</v>
      </c>
      <c r="B61" s="193">
        <v>245770.53027652</v>
      </c>
      <c r="D61" s="175">
        <f>'1.Reel GSYH '!D58</f>
        <v>0</v>
      </c>
      <c r="E61" s="72">
        <f>'1.Reel GSYH '!E58</f>
        <v>0</v>
      </c>
      <c r="F61" s="72">
        <f>'1.Reel GSYH '!F58</f>
        <v>0</v>
      </c>
      <c r="G61" s="72">
        <f>'1.Reel GSYH '!G58</f>
        <v>0</v>
      </c>
      <c r="H61" s="72">
        <f>'1.Reel GSYH '!H58</f>
        <v>0</v>
      </c>
      <c r="I61" s="176">
        <f>'1.Reel GSYH '!I58</f>
        <v>0</v>
      </c>
      <c r="J61" s="83"/>
      <c r="K61" s="173">
        <f t="shared" si="3"/>
        <v>0</v>
      </c>
      <c r="L61" s="77">
        <f t="shared" si="15"/>
        <v>0</v>
      </c>
      <c r="M61" s="77">
        <f t="shared" si="15"/>
        <v>0</v>
      </c>
      <c r="N61" s="77">
        <f t="shared" si="16"/>
        <v>0</v>
      </c>
      <c r="O61" s="77">
        <f t="shared" si="17"/>
        <v>0</v>
      </c>
      <c r="P61" s="79">
        <f t="shared" si="17"/>
        <v>0</v>
      </c>
      <c r="R61" s="81" t="e">
        <f t="shared" si="18"/>
        <v>#DIV/0!</v>
      </c>
      <c r="S61" s="77" t="e">
        <f t="shared" si="19"/>
        <v>#DIV/0!</v>
      </c>
      <c r="T61" s="77" t="e">
        <f t="shared" si="19"/>
        <v>#DIV/0!</v>
      </c>
      <c r="U61" s="77" t="e">
        <f t="shared" si="20"/>
        <v>#DIV/0!</v>
      </c>
      <c r="V61" s="78" t="e">
        <f t="shared" si="11"/>
        <v>#DIV/0!</v>
      </c>
      <c r="W61" s="77" t="e">
        <f t="shared" si="25"/>
        <v>#DIV/0!</v>
      </c>
      <c r="Y61" s="152">
        <f t="shared" si="12"/>
        <v>7.9599382939499419</v>
      </c>
      <c r="Z61" s="77">
        <f t="shared" si="21"/>
        <v>0</v>
      </c>
      <c r="AA61" s="77">
        <f t="shared" si="22"/>
        <v>0</v>
      </c>
      <c r="AB61" s="77">
        <f t="shared" si="22"/>
        <v>0</v>
      </c>
      <c r="AC61" s="77">
        <f t="shared" si="23"/>
        <v>0</v>
      </c>
      <c r="AD61" s="77">
        <f t="shared" si="24"/>
        <v>0</v>
      </c>
      <c r="AE61" s="80">
        <f t="shared" si="24"/>
        <v>0</v>
      </c>
    </row>
    <row r="62" spans="1:31" ht="15.75" customHeight="1">
      <c r="A62" s="40" t="s">
        <v>50</v>
      </c>
      <c r="B62" s="193">
        <v>249240.73953168001</v>
      </c>
      <c r="D62" s="175">
        <f>'1.Reel GSYH '!D59</f>
        <v>0</v>
      </c>
      <c r="E62" s="72">
        <f>'1.Reel GSYH '!E59</f>
        <v>0</v>
      </c>
      <c r="F62" s="72">
        <f>'1.Reel GSYH '!F59</f>
        <v>0</v>
      </c>
      <c r="G62" s="72">
        <f>'1.Reel GSYH '!G59</f>
        <v>0</v>
      </c>
      <c r="H62" s="72">
        <f>'1.Reel GSYH '!H59</f>
        <v>0</v>
      </c>
      <c r="I62" s="176">
        <f>'1.Reel GSYH '!I59</f>
        <v>0</v>
      </c>
      <c r="J62" s="83"/>
      <c r="K62" s="173">
        <f t="shared" si="3"/>
        <v>0</v>
      </c>
      <c r="L62" s="77">
        <f t="shared" si="15"/>
        <v>0</v>
      </c>
      <c r="M62" s="77">
        <f t="shared" si="15"/>
        <v>0</v>
      </c>
      <c r="N62" s="77">
        <f t="shared" si="16"/>
        <v>0</v>
      </c>
      <c r="O62" s="77">
        <f t="shared" si="17"/>
        <v>0</v>
      </c>
      <c r="P62" s="79">
        <f t="shared" si="17"/>
        <v>0</v>
      </c>
      <c r="R62" s="81" t="e">
        <f t="shared" si="18"/>
        <v>#DIV/0!</v>
      </c>
      <c r="S62" s="77" t="e">
        <f t="shared" si="19"/>
        <v>#DIV/0!</v>
      </c>
      <c r="T62" s="77" t="e">
        <f t="shared" si="19"/>
        <v>#DIV/0!</v>
      </c>
      <c r="U62" s="77" t="e">
        <f t="shared" si="20"/>
        <v>#DIV/0!</v>
      </c>
      <c r="V62" s="78" t="e">
        <f t="shared" si="11"/>
        <v>#DIV/0!</v>
      </c>
      <c r="W62" s="77" t="e">
        <f t="shared" si="25"/>
        <v>#DIV/0!</v>
      </c>
      <c r="Y62" s="152">
        <f t="shared" si="12"/>
        <v>8.2633823832674924</v>
      </c>
      <c r="Z62" s="77">
        <f t="shared" si="21"/>
        <v>0</v>
      </c>
      <c r="AA62" s="77">
        <f t="shared" si="22"/>
        <v>0</v>
      </c>
      <c r="AB62" s="77">
        <f t="shared" si="22"/>
        <v>0</v>
      </c>
      <c r="AC62" s="77">
        <f t="shared" si="23"/>
        <v>0</v>
      </c>
      <c r="AD62" s="77">
        <f t="shared" si="24"/>
        <v>0</v>
      </c>
      <c r="AE62" s="80">
        <f t="shared" si="24"/>
        <v>0</v>
      </c>
    </row>
    <row r="63" spans="1:31" ht="15.75" customHeight="1">
      <c r="A63" s="40" t="s">
        <v>51</v>
      </c>
      <c r="B63" s="193">
        <v>257482.64264795001</v>
      </c>
      <c r="D63" s="175">
        <f>'1.Reel GSYH '!D60</f>
        <v>0</v>
      </c>
      <c r="E63" s="72">
        <f>'1.Reel GSYH '!E60</f>
        <v>0</v>
      </c>
      <c r="F63" s="72">
        <f>'1.Reel GSYH '!F60</f>
        <v>0</v>
      </c>
      <c r="G63" s="72">
        <f>'1.Reel GSYH '!G60</f>
        <v>0</v>
      </c>
      <c r="H63" s="72">
        <f>'1.Reel GSYH '!H60</f>
        <v>0</v>
      </c>
      <c r="I63" s="176">
        <f>'1.Reel GSYH '!I60</f>
        <v>0</v>
      </c>
      <c r="J63" s="83"/>
      <c r="K63" s="173">
        <f t="shared" si="3"/>
        <v>0</v>
      </c>
      <c r="L63" s="77">
        <f t="shared" si="15"/>
        <v>0</v>
      </c>
      <c r="M63" s="77">
        <f t="shared" si="15"/>
        <v>0</v>
      </c>
      <c r="N63" s="77">
        <f t="shared" si="16"/>
        <v>0</v>
      </c>
      <c r="O63" s="77">
        <f t="shared" si="17"/>
        <v>0</v>
      </c>
      <c r="P63" s="79">
        <f t="shared" si="17"/>
        <v>0</v>
      </c>
      <c r="R63" s="81" t="e">
        <f t="shared" si="18"/>
        <v>#DIV/0!</v>
      </c>
      <c r="S63" s="77" t="e">
        <f t="shared" si="19"/>
        <v>#DIV/0!</v>
      </c>
      <c r="T63" s="77" t="e">
        <f t="shared" si="19"/>
        <v>#DIV/0!</v>
      </c>
      <c r="U63" s="77" t="e">
        <f t="shared" si="20"/>
        <v>#DIV/0!</v>
      </c>
      <c r="V63" s="78" t="e">
        <f t="shared" si="11"/>
        <v>#DIV/0!</v>
      </c>
      <c r="W63" s="77" t="e">
        <f t="shared" si="25"/>
        <v>#DIV/0!</v>
      </c>
      <c r="Y63" s="152">
        <f t="shared" si="12"/>
        <v>10.057769952722762</v>
      </c>
      <c r="Z63" s="77">
        <f t="shared" si="21"/>
        <v>0</v>
      </c>
      <c r="AA63" s="77">
        <f t="shared" si="22"/>
        <v>0</v>
      </c>
      <c r="AB63" s="77">
        <f t="shared" si="22"/>
        <v>0</v>
      </c>
      <c r="AC63" s="77">
        <f t="shared" si="23"/>
        <v>0</v>
      </c>
      <c r="AD63" s="77">
        <f t="shared" si="24"/>
        <v>0</v>
      </c>
      <c r="AE63" s="80">
        <f t="shared" si="24"/>
        <v>0</v>
      </c>
    </row>
    <row r="64" spans="1:31" ht="15.75" customHeight="1">
      <c r="A64" s="40" t="s">
        <v>52</v>
      </c>
      <c r="B64" s="193">
        <v>260431.16205019</v>
      </c>
      <c r="D64" s="175">
        <f>'1.Reel GSYH '!D61</f>
        <v>0</v>
      </c>
      <c r="E64" s="72">
        <f>'1.Reel GSYH '!E61</f>
        <v>0</v>
      </c>
      <c r="F64" s="72">
        <f>'1.Reel GSYH '!F61</f>
        <v>0</v>
      </c>
      <c r="G64" s="72">
        <f>'1.Reel GSYH '!G61</f>
        <v>0</v>
      </c>
      <c r="H64" s="72">
        <f>'1.Reel GSYH '!H61</f>
        <v>0</v>
      </c>
      <c r="I64" s="176">
        <f>'1.Reel GSYH '!I61</f>
        <v>0</v>
      </c>
      <c r="J64" s="83"/>
      <c r="K64" s="173">
        <f t="shared" si="3"/>
        <v>0</v>
      </c>
      <c r="L64" s="77">
        <f t="shared" si="15"/>
        <v>0</v>
      </c>
      <c r="M64" s="77">
        <f t="shared" si="15"/>
        <v>0</v>
      </c>
      <c r="N64" s="77">
        <f t="shared" si="16"/>
        <v>0</v>
      </c>
      <c r="O64" s="77">
        <f t="shared" si="17"/>
        <v>0</v>
      </c>
      <c r="P64" s="79">
        <f t="shared" si="17"/>
        <v>0</v>
      </c>
      <c r="R64" s="81" t="e">
        <f t="shared" si="18"/>
        <v>#DIV/0!</v>
      </c>
      <c r="S64" s="77" t="e">
        <f t="shared" si="19"/>
        <v>#DIV/0!</v>
      </c>
      <c r="T64" s="77" t="e">
        <f t="shared" si="19"/>
        <v>#DIV/0!</v>
      </c>
      <c r="U64" s="77" t="e">
        <f t="shared" si="20"/>
        <v>#DIV/0!</v>
      </c>
      <c r="V64" s="78" t="e">
        <f t="shared" si="11"/>
        <v>#DIV/0!</v>
      </c>
      <c r="W64" s="77" t="e">
        <f t="shared" si="25"/>
        <v>#DIV/0!</v>
      </c>
      <c r="Y64" s="152">
        <f t="shared" si="12"/>
        <v>6.4125127454570219</v>
      </c>
      <c r="Z64" s="77">
        <f t="shared" si="21"/>
        <v>0</v>
      </c>
      <c r="AA64" s="77">
        <f t="shared" si="22"/>
        <v>0</v>
      </c>
      <c r="AB64" s="77">
        <f t="shared" si="22"/>
        <v>0</v>
      </c>
      <c r="AC64" s="77">
        <f t="shared" si="23"/>
        <v>0</v>
      </c>
      <c r="AD64" s="77">
        <f t="shared" si="24"/>
        <v>0</v>
      </c>
      <c r="AE64" s="80">
        <f t="shared" si="24"/>
        <v>0</v>
      </c>
    </row>
    <row r="65" spans="1:31" ht="15.75" customHeight="1">
      <c r="A65" s="40" t="s">
        <v>53</v>
      </c>
      <c r="B65" s="193">
        <v>268364.21322203003</v>
      </c>
      <c r="D65" s="175">
        <f>'1.Reel GSYH '!D62</f>
        <v>0</v>
      </c>
      <c r="E65" s="72">
        <f>'1.Reel GSYH '!E62</f>
        <v>0</v>
      </c>
      <c r="F65" s="72">
        <f>'1.Reel GSYH '!F62</f>
        <v>0</v>
      </c>
      <c r="G65" s="72">
        <f>'1.Reel GSYH '!G62</f>
        <v>0</v>
      </c>
      <c r="H65" s="72">
        <f>'1.Reel GSYH '!H62</f>
        <v>0</v>
      </c>
      <c r="I65" s="176">
        <f>'1.Reel GSYH '!I62</f>
        <v>0</v>
      </c>
      <c r="J65" s="83"/>
      <c r="K65" s="173">
        <f t="shared" si="3"/>
        <v>0</v>
      </c>
      <c r="L65" s="77">
        <f t="shared" si="15"/>
        <v>0</v>
      </c>
      <c r="M65" s="77">
        <f t="shared" si="15"/>
        <v>0</v>
      </c>
      <c r="N65" s="77">
        <f t="shared" si="16"/>
        <v>0</v>
      </c>
      <c r="O65" s="77">
        <f t="shared" si="17"/>
        <v>0</v>
      </c>
      <c r="P65" s="79">
        <f t="shared" si="17"/>
        <v>0</v>
      </c>
      <c r="R65" s="81" t="e">
        <f t="shared" si="18"/>
        <v>#DIV/0!</v>
      </c>
      <c r="S65" s="77" t="e">
        <f t="shared" si="19"/>
        <v>#DIV/0!</v>
      </c>
      <c r="T65" s="77" t="e">
        <f t="shared" si="19"/>
        <v>#DIV/0!</v>
      </c>
      <c r="U65" s="77" t="e">
        <f t="shared" si="20"/>
        <v>#DIV/0!</v>
      </c>
      <c r="V65" s="78" t="e">
        <f t="shared" si="11"/>
        <v>#DIV/0!</v>
      </c>
      <c r="W65" s="77" t="e">
        <f t="shared" si="25"/>
        <v>#DIV/0!</v>
      </c>
      <c r="Y65" s="152">
        <f t="shared" si="12"/>
        <v>9.1929992257776085</v>
      </c>
      <c r="Z65" s="77">
        <f t="shared" si="21"/>
        <v>0</v>
      </c>
      <c r="AA65" s="77">
        <f t="shared" si="22"/>
        <v>0</v>
      </c>
      <c r="AB65" s="77">
        <f t="shared" si="22"/>
        <v>0</v>
      </c>
      <c r="AC65" s="77">
        <f t="shared" si="23"/>
        <v>0</v>
      </c>
      <c r="AD65" s="77">
        <f t="shared" si="24"/>
        <v>0</v>
      </c>
      <c r="AE65" s="80">
        <f t="shared" si="24"/>
        <v>0</v>
      </c>
    </row>
    <row r="66" spans="1:31" ht="15.75" customHeight="1">
      <c r="A66" s="40" t="s">
        <v>54</v>
      </c>
      <c r="B66" s="193">
        <v>266342.12615674001</v>
      </c>
      <c r="D66" s="175">
        <f>'1.Reel GSYH '!D63</f>
        <v>0</v>
      </c>
      <c r="E66" s="72">
        <f>'1.Reel GSYH '!E63</f>
        <v>0</v>
      </c>
      <c r="F66" s="72">
        <f>'1.Reel GSYH '!F63</f>
        <v>0</v>
      </c>
      <c r="G66" s="72">
        <f>'1.Reel GSYH '!G63</f>
        <v>0</v>
      </c>
      <c r="H66" s="72">
        <f>'1.Reel GSYH '!H63</f>
        <v>0</v>
      </c>
      <c r="I66" s="176">
        <f>'1.Reel GSYH '!I63</f>
        <v>0</v>
      </c>
      <c r="J66" s="83"/>
      <c r="K66" s="173">
        <f t="shared" si="3"/>
        <v>0</v>
      </c>
      <c r="L66" s="77">
        <f t="shared" si="15"/>
        <v>0</v>
      </c>
      <c r="M66" s="77">
        <f t="shared" si="15"/>
        <v>0</v>
      </c>
      <c r="N66" s="77">
        <f t="shared" si="16"/>
        <v>0</v>
      </c>
      <c r="O66" s="77">
        <f t="shared" si="17"/>
        <v>0</v>
      </c>
      <c r="P66" s="79">
        <f t="shared" si="17"/>
        <v>0</v>
      </c>
      <c r="R66" s="81" t="e">
        <f t="shared" si="18"/>
        <v>#DIV/0!</v>
      </c>
      <c r="S66" s="77" t="e">
        <f t="shared" si="19"/>
        <v>#DIV/0!</v>
      </c>
      <c r="T66" s="77" t="e">
        <f t="shared" si="19"/>
        <v>#DIV/0!</v>
      </c>
      <c r="U66" s="77" t="e">
        <f t="shared" si="20"/>
        <v>#DIV/0!</v>
      </c>
      <c r="V66" s="78" t="e">
        <f t="shared" si="11"/>
        <v>#DIV/0!</v>
      </c>
      <c r="W66" s="77" t="e">
        <f t="shared" si="25"/>
        <v>#DIV/0!</v>
      </c>
      <c r="Y66" s="152">
        <f t="shared" si="12"/>
        <v>6.8613929878371005</v>
      </c>
      <c r="Z66" s="77">
        <f t="shared" si="21"/>
        <v>0</v>
      </c>
      <c r="AA66" s="77">
        <f t="shared" si="22"/>
        <v>0</v>
      </c>
      <c r="AB66" s="77">
        <f t="shared" si="22"/>
        <v>0</v>
      </c>
      <c r="AC66" s="77">
        <f t="shared" si="23"/>
        <v>0</v>
      </c>
      <c r="AD66" s="77">
        <f t="shared" si="24"/>
        <v>0</v>
      </c>
      <c r="AE66" s="80">
        <f t="shared" si="24"/>
        <v>0</v>
      </c>
    </row>
    <row r="67" spans="1:31" ht="15.75" customHeight="1">
      <c r="A67" s="40" t="s">
        <v>55</v>
      </c>
      <c r="B67" s="193">
        <v>272358.03039620002</v>
      </c>
      <c r="D67" s="175">
        <f>'1.Reel GSYH '!D64</f>
        <v>0</v>
      </c>
      <c r="E67" s="72">
        <f>'1.Reel GSYH '!E64</f>
        <v>0</v>
      </c>
      <c r="F67" s="72">
        <f>'1.Reel GSYH '!F64</f>
        <v>0</v>
      </c>
      <c r="G67" s="72">
        <f>'1.Reel GSYH '!G64</f>
        <v>0</v>
      </c>
      <c r="H67" s="72">
        <f>'1.Reel GSYH '!H64</f>
        <v>0</v>
      </c>
      <c r="I67" s="176">
        <f>'1.Reel GSYH '!I64</f>
        <v>0</v>
      </c>
      <c r="J67" s="83"/>
      <c r="K67" s="173">
        <f t="shared" si="3"/>
        <v>0</v>
      </c>
      <c r="L67" s="77">
        <f t="shared" si="15"/>
        <v>0</v>
      </c>
      <c r="M67" s="77">
        <f t="shared" si="15"/>
        <v>0</v>
      </c>
      <c r="N67" s="77">
        <f t="shared" si="16"/>
        <v>0</v>
      </c>
      <c r="O67" s="77">
        <f t="shared" si="17"/>
        <v>0</v>
      </c>
      <c r="P67" s="79">
        <f t="shared" si="17"/>
        <v>0</v>
      </c>
      <c r="R67" s="81" t="e">
        <f t="shared" si="18"/>
        <v>#DIV/0!</v>
      </c>
      <c r="S67" s="77" t="e">
        <f t="shared" si="19"/>
        <v>#DIV/0!</v>
      </c>
      <c r="T67" s="77" t="e">
        <f t="shared" si="19"/>
        <v>#DIV/0!</v>
      </c>
      <c r="U67" s="77" t="e">
        <f t="shared" si="20"/>
        <v>#DIV/0!</v>
      </c>
      <c r="V67" s="78" t="e">
        <f t="shared" si="11"/>
        <v>#DIV/0!</v>
      </c>
      <c r="W67" s="77" t="e">
        <f t="shared" si="25"/>
        <v>#DIV/0!</v>
      </c>
      <c r="Y67" s="152">
        <f t="shared" si="12"/>
        <v>5.7772390384344341</v>
      </c>
      <c r="Z67" s="77">
        <f t="shared" si="21"/>
        <v>0</v>
      </c>
      <c r="AA67" s="77">
        <f t="shared" si="22"/>
        <v>0</v>
      </c>
      <c r="AB67" s="77">
        <f t="shared" si="22"/>
        <v>0</v>
      </c>
      <c r="AC67" s="77">
        <f t="shared" si="23"/>
        <v>0</v>
      </c>
      <c r="AD67" s="77">
        <f t="shared" si="24"/>
        <v>0</v>
      </c>
      <c r="AE67" s="80">
        <f t="shared" si="24"/>
        <v>0</v>
      </c>
    </row>
    <row r="68" spans="1:31" ht="15.75" customHeight="1">
      <c r="A68" s="40" t="s">
        <v>56</v>
      </c>
      <c r="B68" s="193">
        <v>277323.33653855999</v>
      </c>
      <c r="D68" s="175">
        <f>'1.Reel GSYH '!D65</f>
        <v>0</v>
      </c>
      <c r="E68" s="72">
        <f>'1.Reel GSYH '!E65</f>
        <v>0</v>
      </c>
      <c r="F68" s="72">
        <f>'1.Reel GSYH '!F65</f>
        <v>0</v>
      </c>
      <c r="G68" s="72">
        <f>'1.Reel GSYH '!G65</f>
        <v>0</v>
      </c>
      <c r="H68" s="72">
        <f>'1.Reel GSYH '!H65</f>
        <v>0</v>
      </c>
      <c r="I68" s="176">
        <f>'1.Reel GSYH '!I65</f>
        <v>0</v>
      </c>
      <c r="J68" s="83"/>
      <c r="K68" s="173">
        <f t="shared" si="3"/>
        <v>0</v>
      </c>
      <c r="L68" s="77">
        <f t="shared" si="15"/>
        <v>0</v>
      </c>
      <c r="M68" s="77">
        <f t="shared" si="15"/>
        <v>0</v>
      </c>
      <c r="N68" s="77">
        <f t="shared" si="16"/>
        <v>0</v>
      </c>
      <c r="O68" s="77">
        <f t="shared" si="17"/>
        <v>0</v>
      </c>
      <c r="P68" s="79">
        <f t="shared" si="17"/>
        <v>0</v>
      </c>
      <c r="R68" s="81" t="e">
        <f t="shared" si="18"/>
        <v>#DIV/0!</v>
      </c>
      <c r="S68" s="77" t="e">
        <f t="shared" si="19"/>
        <v>#DIV/0!</v>
      </c>
      <c r="T68" s="77" t="e">
        <f t="shared" si="19"/>
        <v>#DIV/0!</v>
      </c>
      <c r="U68" s="77" t="e">
        <f t="shared" si="20"/>
        <v>#DIV/0!</v>
      </c>
      <c r="V68" s="78" t="e">
        <f t="shared" si="11"/>
        <v>#DIV/0!</v>
      </c>
      <c r="W68" s="77" t="e">
        <f t="shared" si="25"/>
        <v>#DIV/0!</v>
      </c>
      <c r="Y68" s="152">
        <f t="shared" si="12"/>
        <v>6.4862339650101353</v>
      </c>
      <c r="Z68" s="77">
        <f t="shared" si="21"/>
        <v>0</v>
      </c>
      <c r="AA68" s="77">
        <f t="shared" si="22"/>
        <v>0</v>
      </c>
      <c r="AB68" s="77">
        <f t="shared" si="22"/>
        <v>0</v>
      </c>
      <c r="AC68" s="77">
        <f t="shared" si="23"/>
        <v>0</v>
      </c>
      <c r="AD68" s="77">
        <f t="shared" si="24"/>
        <v>0</v>
      </c>
      <c r="AE68" s="80">
        <f t="shared" si="24"/>
        <v>0</v>
      </c>
    </row>
    <row r="69" spans="1:31" ht="15.75" customHeight="1">
      <c r="A69" s="40" t="s">
        <v>57</v>
      </c>
      <c r="B69" s="193">
        <v>277408.01864985999</v>
      </c>
      <c r="D69" s="175">
        <f>'1.Reel GSYH '!D66</f>
        <v>0</v>
      </c>
      <c r="E69" s="72">
        <f>'1.Reel GSYH '!E66</f>
        <v>0</v>
      </c>
      <c r="F69" s="72">
        <f>'1.Reel GSYH '!F66</f>
        <v>0</v>
      </c>
      <c r="G69" s="72">
        <f>'1.Reel GSYH '!G66</f>
        <v>0</v>
      </c>
      <c r="H69" s="72">
        <f>'1.Reel GSYH '!H66</f>
        <v>0</v>
      </c>
      <c r="I69" s="176">
        <f>'1.Reel GSYH '!I66</f>
        <v>0</v>
      </c>
      <c r="J69" s="83"/>
      <c r="K69" s="173">
        <f t="shared" si="3"/>
        <v>0</v>
      </c>
      <c r="L69" s="77">
        <f t="shared" si="15"/>
        <v>0</v>
      </c>
      <c r="M69" s="77">
        <f t="shared" si="15"/>
        <v>0</v>
      </c>
      <c r="N69" s="77">
        <f t="shared" si="16"/>
        <v>0</v>
      </c>
      <c r="O69" s="77">
        <f t="shared" si="17"/>
        <v>0</v>
      </c>
      <c r="P69" s="79">
        <f t="shared" si="17"/>
        <v>0</v>
      </c>
      <c r="R69" s="81" t="e">
        <f t="shared" si="18"/>
        <v>#DIV/0!</v>
      </c>
      <c r="S69" s="77" t="e">
        <f t="shared" si="19"/>
        <v>#DIV/0!</v>
      </c>
      <c r="T69" s="77" t="e">
        <f t="shared" si="19"/>
        <v>#DIV/0!</v>
      </c>
      <c r="U69" s="77" t="e">
        <f t="shared" si="20"/>
        <v>#DIV/0!</v>
      </c>
      <c r="V69" s="78" t="e">
        <f t="shared" si="11"/>
        <v>#DIV/0!</v>
      </c>
      <c r="W69" s="77" t="e">
        <f t="shared" si="25"/>
        <v>#DIV/0!</v>
      </c>
      <c r="Y69" s="152">
        <f t="shared" si="12"/>
        <v>3.3699744534669396</v>
      </c>
      <c r="Z69" s="77">
        <f t="shared" si="21"/>
        <v>0</v>
      </c>
      <c r="AA69" s="77">
        <f t="shared" si="22"/>
        <v>0</v>
      </c>
      <c r="AB69" s="77">
        <f t="shared" si="22"/>
        <v>0</v>
      </c>
      <c r="AC69" s="77">
        <f t="shared" si="23"/>
        <v>0</v>
      </c>
      <c r="AD69" s="77">
        <f t="shared" si="24"/>
        <v>0</v>
      </c>
      <c r="AE69" s="80">
        <f t="shared" si="24"/>
        <v>0</v>
      </c>
    </row>
    <row r="70" spans="1:31" ht="15.75" customHeight="1">
      <c r="A70" s="40" t="s">
        <v>58</v>
      </c>
      <c r="B70" s="193">
        <v>279034.72428721999</v>
      </c>
      <c r="D70" s="175">
        <f>'1.Reel GSYH '!D67</f>
        <v>0</v>
      </c>
      <c r="E70" s="72">
        <f>'1.Reel GSYH '!E67</f>
        <v>0</v>
      </c>
      <c r="F70" s="72">
        <f>'1.Reel GSYH '!F67</f>
        <v>0</v>
      </c>
      <c r="G70" s="72">
        <f>'1.Reel GSYH '!G67</f>
        <v>0</v>
      </c>
      <c r="H70" s="72">
        <f>'1.Reel GSYH '!H67</f>
        <v>0</v>
      </c>
      <c r="I70" s="176">
        <f>'1.Reel GSYH '!I67</f>
        <v>0</v>
      </c>
      <c r="J70" s="83"/>
      <c r="K70" s="173">
        <f t="shared" si="3"/>
        <v>0</v>
      </c>
      <c r="L70" s="77">
        <f t="shared" si="15"/>
        <v>0</v>
      </c>
      <c r="M70" s="77">
        <f t="shared" si="15"/>
        <v>0</v>
      </c>
      <c r="N70" s="77">
        <f t="shared" si="16"/>
        <v>0</v>
      </c>
      <c r="O70" s="77">
        <f t="shared" si="17"/>
        <v>0</v>
      </c>
      <c r="P70" s="79">
        <f t="shared" si="17"/>
        <v>0</v>
      </c>
      <c r="R70" s="81" t="e">
        <f t="shared" si="18"/>
        <v>#DIV/0!</v>
      </c>
      <c r="S70" s="77" t="e">
        <f t="shared" si="19"/>
        <v>#DIV/0!</v>
      </c>
      <c r="T70" s="77" t="e">
        <f t="shared" si="19"/>
        <v>#DIV/0!</v>
      </c>
      <c r="U70" s="77" t="e">
        <f t="shared" si="20"/>
        <v>#DIV/0!</v>
      </c>
      <c r="V70" s="78" t="e">
        <f t="shared" si="11"/>
        <v>#DIV/0!</v>
      </c>
      <c r="W70" s="77" t="e">
        <f t="shared" si="25"/>
        <v>#DIV/0!</v>
      </c>
      <c r="Y70" s="152">
        <f t="shared" si="12"/>
        <v>4.7655240699740142</v>
      </c>
      <c r="Z70" s="77">
        <f t="shared" si="21"/>
        <v>0</v>
      </c>
      <c r="AA70" s="77">
        <f t="shared" si="22"/>
        <v>0</v>
      </c>
      <c r="AB70" s="77">
        <f t="shared" si="22"/>
        <v>0</v>
      </c>
      <c r="AC70" s="77">
        <f t="shared" si="23"/>
        <v>0</v>
      </c>
      <c r="AD70" s="77">
        <f t="shared" si="24"/>
        <v>0</v>
      </c>
      <c r="AE70" s="80">
        <f t="shared" si="24"/>
        <v>0</v>
      </c>
    </row>
    <row r="71" spans="1:31" ht="15.75" customHeight="1">
      <c r="A71" s="40" t="s">
        <v>59</v>
      </c>
      <c r="B71" s="193">
        <v>288612.86763593002</v>
      </c>
      <c r="D71" s="175">
        <f>'1.Reel GSYH '!D68</f>
        <v>0</v>
      </c>
      <c r="E71" s="72">
        <f>'1.Reel GSYH '!E68</f>
        <v>0</v>
      </c>
      <c r="F71" s="72">
        <f>'1.Reel GSYH '!F68</f>
        <v>0</v>
      </c>
      <c r="G71" s="72">
        <f>'1.Reel GSYH '!G68</f>
        <v>0</v>
      </c>
      <c r="H71" s="72">
        <f>'1.Reel GSYH '!H68</f>
        <v>0</v>
      </c>
      <c r="I71" s="176">
        <f>'1.Reel GSYH '!I68</f>
        <v>0</v>
      </c>
      <c r="J71" s="83"/>
      <c r="K71" s="173">
        <f t="shared" si="3"/>
        <v>0</v>
      </c>
      <c r="L71" s="77">
        <f t="shared" si="15"/>
        <v>0</v>
      </c>
      <c r="M71" s="77">
        <f t="shared" si="15"/>
        <v>0</v>
      </c>
      <c r="N71" s="77">
        <f t="shared" si="16"/>
        <v>0</v>
      </c>
      <c r="O71" s="77">
        <f t="shared" si="17"/>
        <v>0</v>
      </c>
      <c r="P71" s="79">
        <f t="shared" si="17"/>
        <v>0</v>
      </c>
      <c r="R71" s="81" t="e">
        <f t="shared" si="18"/>
        <v>#DIV/0!</v>
      </c>
      <c r="S71" s="77" t="e">
        <f t="shared" si="19"/>
        <v>#DIV/0!</v>
      </c>
      <c r="T71" s="77" t="e">
        <f t="shared" si="19"/>
        <v>#DIV/0!</v>
      </c>
      <c r="U71" s="77" t="e">
        <f t="shared" si="20"/>
        <v>#DIV/0!</v>
      </c>
      <c r="V71" s="78" t="e">
        <f t="shared" si="11"/>
        <v>#DIV/0!</v>
      </c>
      <c r="W71" s="77" t="e">
        <f t="shared" si="25"/>
        <v>#DIV/0!</v>
      </c>
      <c r="Y71" s="152">
        <f t="shared" si="12"/>
        <v>5.9681872482643561</v>
      </c>
      <c r="Z71" s="77">
        <f t="shared" si="21"/>
        <v>0</v>
      </c>
      <c r="AA71" s="77">
        <f t="shared" si="22"/>
        <v>0</v>
      </c>
      <c r="AB71" s="77">
        <f t="shared" si="22"/>
        <v>0</v>
      </c>
      <c r="AC71" s="77">
        <f t="shared" si="23"/>
        <v>0</v>
      </c>
      <c r="AD71" s="77">
        <f t="shared" si="24"/>
        <v>0</v>
      </c>
      <c r="AE71" s="80">
        <f t="shared" si="24"/>
        <v>0</v>
      </c>
    </row>
    <row r="72" spans="1:31" ht="15.75" customHeight="1">
      <c r="A72" s="40" t="s">
        <v>60</v>
      </c>
      <c r="B72" s="193">
        <v>294692.47505166999</v>
      </c>
      <c r="D72" s="175">
        <f>'1.Reel GSYH '!D69</f>
        <v>0</v>
      </c>
      <c r="E72" s="72">
        <f>'1.Reel GSYH '!E69</f>
        <v>0</v>
      </c>
      <c r="F72" s="72">
        <f>'1.Reel GSYH '!F69</f>
        <v>0</v>
      </c>
      <c r="G72" s="72">
        <f>'1.Reel GSYH '!G69</f>
        <v>0</v>
      </c>
      <c r="H72" s="72">
        <f>'1.Reel GSYH '!H69</f>
        <v>0</v>
      </c>
      <c r="I72" s="176">
        <f>'1.Reel GSYH '!I69</f>
        <v>0</v>
      </c>
      <c r="J72" s="83"/>
      <c r="K72" s="173">
        <f t="shared" si="3"/>
        <v>0</v>
      </c>
      <c r="L72" s="77">
        <f t="shared" si="15"/>
        <v>0</v>
      </c>
      <c r="M72" s="77">
        <f t="shared" si="15"/>
        <v>0</v>
      </c>
      <c r="N72" s="77">
        <f t="shared" si="16"/>
        <v>0</v>
      </c>
      <c r="O72" s="77">
        <f t="shared" si="17"/>
        <v>0</v>
      </c>
      <c r="P72" s="79">
        <f t="shared" si="17"/>
        <v>0</v>
      </c>
      <c r="R72" s="81" t="e">
        <f t="shared" si="18"/>
        <v>#DIV/0!</v>
      </c>
      <c r="S72" s="77" t="e">
        <f t="shared" si="19"/>
        <v>#DIV/0!</v>
      </c>
      <c r="T72" s="77" t="e">
        <f t="shared" si="19"/>
        <v>#DIV/0!</v>
      </c>
      <c r="U72" s="77" t="e">
        <f t="shared" si="20"/>
        <v>#DIV/0!</v>
      </c>
      <c r="V72" s="78" t="e">
        <f t="shared" si="11"/>
        <v>#DIV/0!</v>
      </c>
      <c r="W72" s="77" t="e">
        <f t="shared" si="25"/>
        <v>#DIV/0!</v>
      </c>
      <c r="Y72" s="152">
        <f t="shared" si="12"/>
        <v>6.2631362834100868</v>
      </c>
      <c r="Z72" s="77">
        <f t="shared" si="21"/>
        <v>0</v>
      </c>
      <c r="AA72" s="77">
        <f t="shared" si="22"/>
        <v>0</v>
      </c>
      <c r="AB72" s="77">
        <f t="shared" si="22"/>
        <v>0</v>
      </c>
      <c r="AC72" s="77">
        <f t="shared" si="23"/>
        <v>0</v>
      </c>
      <c r="AD72" s="77">
        <f t="shared" si="24"/>
        <v>0</v>
      </c>
      <c r="AE72" s="80">
        <f t="shared" si="24"/>
        <v>0</v>
      </c>
    </row>
    <row r="73" spans="1:31" ht="15.75" customHeight="1">
      <c r="A73" s="40" t="s">
        <v>61</v>
      </c>
      <c r="B73" s="193">
        <v>284235.02197304001</v>
      </c>
      <c r="D73" s="175">
        <f>'1.Reel GSYH '!D70</f>
        <v>0</v>
      </c>
      <c r="E73" s="72">
        <f>'1.Reel GSYH '!E70</f>
        <v>0</v>
      </c>
      <c r="F73" s="72">
        <f>'1.Reel GSYH '!F70</f>
        <v>0</v>
      </c>
      <c r="G73" s="72">
        <f>'1.Reel GSYH '!G70</f>
        <v>0</v>
      </c>
      <c r="H73" s="72">
        <f>'1.Reel GSYH '!H70</f>
        <v>0</v>
      </c>
      <c r="I73" s="176">
        <f>'1.Reel GSYH '!I70</f>
        <v>0</v>
      </c>
      <c r="J73" s="83"/>
      <c r="K73" s="173">
        <f t="shared" si="3"/>
        <v>0</v>
      </c>
      <c r="L73" s="77">
        <f t="shared" si="15"/>
        <v>0</v>
      </c>
      <c r="M73" s="77">
        <f t="shared" si="15"/>
        <v>0</v>
      </c>
      <c r="N73" s="77">
        <f t="shared" si="16"/>
        <v>0</v>
      </c>
      <c r="O73" s="77">
        <f t="shared" si="17"/>
        <v>0</v>
      </c>
      <c r="P73" s="79">
        <f t="shared" si="17"/>
        <v>0</v>
      </c>
      <c r="R73" s="81" t="e">
        <f t="shared" si="18"/>
        <v>#DIV/0!</v>
      </c>
      <c r="S73" s="77" t="e">
        <f t="shared" si="19"/>
        <v>#DIV/0!</v>
      </c>
      <c r="T73" s="77" t="e">
        <f t="shared" si="19"/>
        <v>#DIV/0!</v>
      </c>
      <c r="U73" s="77" t="e">
        <f t="shared" si="20"/>
        <v>#DIV/0!</v>
      </c>
      <c r="V73" s="78" t="e">
        <f t="shared" si="11"/>
        <v>#DIV/0!</v>
      </c>
      <c r="W73" s="77" t="e">
        <f t="shared" si="25"/>
        <v>#DIV/0!</v>
      </c>
      <c r="Y73" s="152">
        <f t="shared" si="12"/>
        <v>2.460997110468166</v>
      </c>
      <c r="Z73" s="77">
        <f t="shared" si="21"/>
        <v>0</v>
      </c>
      <c r="AA73" s="77">
        <f t="shared" si="22"/>
        <v>0</v>
      </c>
      <c r="AB73" s="77">
        <f t="shared" si="22"/>
        <v>0</v>
      </c>
      <c r="AC73" s="77">
        <f t="shared" si="23"/>
        <v>0</v>
      </c>
      <c r="AD73" s="77">
        <f t="shared" si="24"/>
        <v>0</v>
      </c>
      <c r="AE73" s="80">
        <f t="shared" si="24"/>
        <v>0</v>
      </c>
    </row>
    <row r="74" spans="1:31" ht="15.75" customHeight="1">
      <c r="A74" s="40" t="s">
        <v>62</v>
      </c>
      <c r="B74" s="193">
        <v>279070.84143898002</v>
      </c>
      <c r="D74" s="175">
        <f>'1.Reel GSYH '!D71</f>
        <v>0</v>
      </c>
      <c r="E74" s="72">
        <f>'1.Reel GSYH '!E71</f>
        <v>0</v>
      </c>
      <c r="F74" s="72">
        <f>'1.Reel GSYH '!F71</f>
        <v>0</v>
      </c>
      <c r="G74" s="72">
        <f>'1.Reel GSYH '!G71</f>
        <v>0</v>
      </c>
      <c r="H74" s="72">
        <f>'1.Reel GSYH '!H71</f>
        <v>0</v>
      </c>
      <c r="I74" s="176">
        <f>'1.Reel GSYH '!I71</f>
        <v>0</v>
      </c>
      <c r="J74" s="83"/>
      <c r="K74" s="173">
        <f t="shared" si="3"/>
        <v>0</v>
      </c>
      <c r="L74" s="77">
        <f t="shared" si="15"/>
        <v>0</v>
      </c>
      <c r="M74" s="77">
        <f t="shared" si="15"/>
        <v>0</v>
      </c>
      <c r="N74" s="77">
        <f t="shared" si="16"/>
        <v>0</v>
      </c>
      <c r="O74" s="77">
        <f t="shared" si="17"/>
        <v>0</v>
      </c>
      <c r="P74" s="79">
        <f t="shared" si="17"/>
        <v>0</v>
      </c>
      <c r="R74" s="81" t="e">
        <f t="shared" si="18"/>
        <v>#DIV/0!</v>
      </c>
      <c r="S74" s="77" t="e">
        <f t="shared" si="19"/>
        <v>#DIV/0!</v>
      </c>
      <c r="T74" s="77" t="e">
        <f t="shared" si="19"/>
        <v>#DIV/0!</v>
      </c>
      <c r="U74" s="77" t="e">
        <f t="shared" si="20"/>
        <v>#DIV/0!</v>
      </c>
      <c r="V74" s="78" t="e">
        <f t="shared" si="11"/>
        <v>#DIV/0!</v>
      </c>
      <c r="W74" s="77" t="e">
        <f t="shared" si="25"/>
        <v>#DIV/0!</v>
      </c>
      <c r="Y74" s="152">
        <f t="shared" si="12"/>
        <v>1.2943604726012303E-2</v>
      </c>
      <c r="Z74" s="77">
        <f t="shared" si="21"/>
        <v>0</v>
      </c>
      <c r="AA74" s="77">
        <f t="shared" si="22"/>
        <v>0</v>
      </c>
      <c r="AB74" s="77">
        <f t="shared" si="22"/>
        <v>0</v>
      </c>
      <c r="AC74" s="77">
        <f t="shared" si="23"/>
        <v>0</v>
      </c>
      <c r="AD74" s="77">
        <f t="shared" si="24"/>
        <v>0</v>
      </c>
      <c r="AE74" s="80">
        <f t="shared" si="24"/>
        <v>0</v>
      </c>
    </row>
    <row r="75" spans="1:31" ht="15.75" customHeight="1">
      <c r="A75" s="40" t="s">
        <v>63</v>
      </c>
      <c r="B75" s="193">
        <v>271982.35392051999</v>
      </c>
      <c r="D75" s="175">
        <f>'1.Reel GSYH '!D72</f>
        <v>0</v>
      </c>
      <c r="E75" s="72">
        <f>'1.Reel GSYH '!E72</f>
        <v>0</v>
      </c>
      <c r="F75" s="72">
        <f>'1.Reel GSYH '!F72</f>
        <v>0</v>
      </c>
      <c r="G75" s="72">
        <f>'1.Reel GSYH '!G72</f>
        <v>0</v>
      </c>
      <c r="H75" s="72">
        <f>'1.Reel GSYH '!H72</f>
        <v>0</v>
      </c>
      <c r="I75" s="176">
        <f>'1.Reel GSYH '!I72</f>
        <v>0</v>
      </c>
      <c r="J75" s="83"/>
      <c r="K75" s="173">
        <f t="shared" si="3"/>
        <v>0</v>
      </c>
      <c r="L75" s="77">
        <f t="shared" si="15"/>
        <v>0</v>
      </c>
      <c r="M75" s="77">
        <f t="shared" si="15"/>
        <v>0</v>
      </c>
      <c r="N75" s="77">
        <f t="shared" si="16"/>
        <v>0</v>
      </c>
      <c r="O75" s="77">
        <f t="shared" si="17"/>
        <v>0</v>
      </c>
      <c r="P75" s="79">
        <f t="shared" si="17"/>
        <v>0</v>
      </c>
      <c r="R75" s="81" t="e">
        <f t="shared" si="18"/>
        <v>#DIV/0!</v>
      </c>
      <c r="S75" s="77" t="e">
        <f t="shared" si="19"/>
        <v>#DIV/0!</v>
      </c>
      <c r="T75" s="77" t="e">
        <f t="shared" si="19"/>
        <v>#DIV/0!</v>
      </c>
      <c r="U75" s="77" t="e">
        <f t="shared" si="20"/>
        <v>#DIV/0!</v>
      </c>
      <c r="V75" s="78" t="e">
        <f t="shared" si="11"/>
        <v>#DIV/0!</v>
      </c>
      <c r="W75" s="77" t="e">
        <f t="shared" si="25"/>
        <v>#DIV/0!</v>
      </c>
      <c r="Y75" s="152">
        <f t="shared" si="12"/>
        <v>-5.7622218481223619</v>
      </c>
      <c r="Z75" s="77">
        <f t="shared" si="21"/>
        <v>0</v>
      </c>
      <c r="AA75" s="77">
        <f t="shared" si="22"/>
        <v>0</v>
      </c>
      <c r="AB75" s="77">
        <f t="shared" si="22"/>
        <v>0</v>
      </c>
      <c r="AC75" s="77">
        <f t="shared" si="23"/>
        <v>0</v>
      </c>
      <c r="AD75" s="77">
        <f t="shared" si="24"/>
        <v>0</v>
      </c>
      <c r="AE75" s="80">
        <f t="shared" si="24"/>
        <v>0</v>
      </c>
    </row>
    <row r="76" spans="1:31" ht="15.75" customHeight="1">
      <c r="A76" s="40" t="s">
        <v>64</v>
      </c>
      <c r="B76" s="193">
        <v>256577.22015884001</v>
      </c>
      <c r="D76" s="175">
        <f>'1.Reel GSYH '!D73</f>
        <v>273435.7</v>
      </c>
      <c r="E76" s="72">
        <f>'1.Reel GSYH '!E73</f>
        <v>9472.2999999999993</v>
      </c>
      <c r="F76" s="72">
        <f>'1.Reel GSYH '!F73</f>
        <v>15446.1</v>
      </c>
      <c r="G76" s="72">
        <f>'1.Reel GSYH '!G73</f>
        <v>46185.9</v>
      </c>
      <c r="H76" s="72">
        <f>'1.Reel GSYH '!H73</f>
        <v>72183.600000000006</v>
      </c>
      <c r="I76" s="176">
        <f>'1.Reel GSYH '!I73</f>
        <v>130147.8</v>
      </c>
      <c r="J76" s="83"/>
      <c r="K76" s="173">
        <f t="shared" si="3"/>
        <v>106.57052868166681</v>
      </c>
      <c r="L76" s="77">
        <f t="shared" si="15"/>
        <v>3.6917930571295283</v>
      </c>
      <c r="M76" s="77">
        <f t="shared" si="15"/>
        <v>6.0200589867010557</v>
      </c>
      <c r="N76" s="77">
        <f t="shared" si="16"/>
        <v>18.00077963718196</v>
      </c>
      <c r="O76" s="77">
        <f t="shared" si="17"/>
        <v>28.133284769128409</v>
      </c>
      <c r="P76" s="79">
        <f t="shared" si="17"/>
        <v>50.724612231525867</v>
      </c>
      <c r="R76" s="81" t="e">
        <f t="shared" si="18"/>
        <v>#DIV/0!</v>
      </c>
      <c r="S76" s="77" t="e">
        <f t="shared" si="19"/>
        <v>#DIV/0!</v>
      </c>
      <c r="T76" s="77" t="e">
        <f t="shared" si="19"/>
        <v>#DIV/0!</v>
      </c>
      <c r="U76" s="77" t="e">
        <f t="shared" si="20"/>
        <v>#DIV/0!</v>
      </c>
      <c r="V76" s="78" t="e">
        <f t="shared" si="11"/>
        <v>#DIV/0!</v>
      </c>
      <c r="W76" s="77" t="e">
        <f t="shared" si="25"/>
        <v>#DIV/0!</v>
      </c>
      <c r="Y76" s="152">
        <f t="shared" si="12"/>
        <v>-12.933908436632812</v>
      </c>
      <c r="Z76" s="77">
        <f t="shared" si="21"/>
        <v>92.786794081544528</v>
      </c>
      <c r="AA76" s="77">
        <f t="shared" si="22"/>
        <v>3.2142999234504277</v>
      </c>
      <c r="AB76" s="77">
        <f t="shared" si="22"/>
        <v>5.2414300695298568</v>
      </c>
      <c r="AC76" s="77">
        <f t="shared" si="23"/>
        <v>15.672575281028802</v>
      </c>
      <c r="AD76" s="77">
        <f t="shared" si="24"/>
        <v>24.494551476872179</v>
      </c>
      <c r="AE76" s="80">
        <f t="shared" si="24"/>
        <v>44.163937330663259</v>
      </c>
    </row>
    <row r="77" spans="1:31" ht="15.75" customHeight="1">
      <c r="A77" s="40" t="s">
        <v>65</v>
      </c>
      <c r="B77" s="193">
        <v>266858.26458994998</v>
      </c>
      <c r="D77" s="175">
        <f>'1.Reel GSYH '!D74</f>
        <v>303049.90000000002</v>
      </c>
      <c r="E77" s="72">
        <f>'1.Reel GSYH '!E74</f>
        <v>13867.4</v>
      </c>
      <c r="F77" s="72">
        <f>'1.Reel GSYH '!F74</f>
        <v>14821.1</v>
      </c>
      <c r="G77" s="72">
        <f>'1.Reel GSYH '!G74</f>
        <v>54581.3</v>
      </c>
      <c r="H77" s="72">
        <f>'1.Reel GSYH '!H74</f>
        <v>75667.600000000006</v>
      </c>
      <c r="I77" s="176">
        <f>'1.Reel GSYH '!I74</f>
        <v>144112.5</v>
      </c>
      <c r="J77" s="83"/>
      <c r="K77" s="173">
        <f t="shared" si="3"/>
        <v>113.56211900188346</v>
      </c>
      <c r="L77" s="77">
        <f t="shared" si="15"/>
        <v>5.196541325526649</v>
      </c>
      <c r="M77" s="77">
        <f t="shared" si="15"/>
        <v>5.5539220502590991</v>
      </c>
      <c r="N77" s="77">
        <f t="shared" si="16"/>
        <v>20.45329196900412</v>
      </c>
      <c r="O77" s="77">
        <f t="shared" si="17"/>
        <v>28.354977169723263</v>
      </c>
      <c r="P77" s="79">
        <f t="shared" si="17"/>
        <v>54.003386487370328</v>
      </c>
      <c r="R77" s="81" t="e">
        <f t="shared" si="18"/>
        <v>#DIV/0!</v>
      </c>
      <c r="S77" s="77" t="e">
        <f t="shared" si="19"/>
        <v>#DIV/0!</v>
      </c>
      <c r="T77" s="77" t="e">
        <f t="shared" si="19"/>
        <v>#DIV/0!</v>
      </c>
      <c r="U77" s="77" t="e">
        <f t="shared" si="20"/>
        <v>#DIV/0!</v>
      </c>
      <c r="V77" s="78" t="e">
        <f t="shared" si="11"/>
        <v>#DIV/0!</v>
      </c>
      <c r="W77" s="77" t="e">
        <f t="shared" si="25"/>
        <v>#DIV/0!</v>
      </c>
      <c r="Y77" s="152">
        <f t="shared" si="12"/>
        <v>-6.1135173499971547</v>
      </c>
      <c r="Z77" s="77">
        <f t="shared" si="21"/>
        <v>106.61947915367888</v>
      </c>
      <c r="AA77" s="77">
        <f t="shared" si="22"/>
        <v>4.8788498699908054</v>
      </c>
      <c r="AB77" s="77">
        <f t="shared" si="22"/>
        <v>5.2143820621111905</v>
      </c>
      <c r="AC77" s="77">
        <f t="shared" si="23"/>
        <v>19.202876415833479</v>
      </c>
      <c r="AD77" s="77">
        <f t="shared" si="24"/>
        <v>26.621490720864493</v>
      </c>
      <c r="AE77" s="80">
        <f t="shared" si="24"/>
        <v>50.701880084878923</v>
      </c>
    </row>
    <row r="78" spans="1:31" ht="15.75" customHeight="1">
      <c r="A78" s="40" t="s">
        <v>66</v>
      </c>
      <c r="B78" s="193">
        <v>273251.55109716998</v>
      </c>
      <c r="D78" s="175">
        <f>'1.Reel GSYH '!D75</f>
        <v>340495.8</v>
      </c>
      <c r="E78" s="72">
        <f>'1.Reel GSYH '!E75</f>
        <v>13070.6</v>
      </c>
      <c r="F78" s="72">
        <f>'1.Reel GSYH '!F75</f>
        <v>16667.7</v>
      </c>
      <c r="G78" s="72">
        <f>'1.Reel GSYH '!G75</f>
        <v>68853.600000000006</v>
      </c>
      <c r="H78" s="72">
        <f>'1.Reel GSYH '!H75</f>
        <v>78027.399999999994</v>
      </c>
      <c r="I78" s="176">
        <f>'1.Reel GSYH '!I75</f>
        <v>163876.5</v>
      </c>
      <c r="J78" s="83"/>
      <c r="K78" s="173">
        <f t="shared" ref="K78:K106" si="26">(D78/B78)*100</f>
        <v>124.60891754605905</v>
      </c>
      <c r="L78" s="77">
        <f t="shared" si="15"/>
        <v>4.7833580257892159</v>
      </c>
      <c r="M78" s="77">
        <f t="shared" si="15"/>
        <v>6.0997640939549003</v>
      </c>
      <c r="N78" s="77">
        <f t="shared" si="16"/>
        <v>25.197880752565325</v>
      </c>
      <c r="O78" s="77">
        <f t="shared" si="17"/>
        <v>28.55515355235914</v>
      </c>
      <c r="P78" s="79">
        <f t="shared" si="17"/>
        <v>59.972761121390484</v>
      </c>
      <c r="R78" s="81" t="e">
        <f t="shared" si="18"/>
        <v>#DIV/0!</v>
      </c>
      <c r="S78" s="77" t="e">
        <f t="shared" si="19"/>
        <v>#DIV/0!</v>
      </c>
      <c r="T78" s="77" t="e">
        <f t="shared" si="19"/>
        <v>#DIV/0!</v>
      </c>
      <c r="U78" s="77" t="e">
        <f t="shared" si="20"/>
        <v>#DIV/0!</v>
      </c>
      <c r="V78" s="78" t="e">
        <f t="shared" si="11"/>
        <v>#DIV/0!</v>
      </c>
      <c r="W78" s="77" t="e">
        <f t="shared" si="25"/>
        <v>#DIV/0!</v>
      </c>
      <c r="Y78" s="152">
        <f t="shared" si="12"/>
        <v>-2.0852376807995676</v>
      </c>
      <c r="Z78" s="77">
        <f t="shared" si="21"/>
        <v>122.01052544375217</v>
      </c>
      <c r="AA78" s="77">
        <f t="shared" si="22"/>
        <v>4.6836136418279084</v>
      </c>
      <c r="AB78" s="77">
        <f t="shared" si="22"/>
        <v>5.9725695146278701</v>
      </c>
      <c r="AC78" s="77">
        <f t="shared" si="23"/>
        <v>24.672445048349893</v>
      </c>
      <c r="AD78" s="77">
        <f t="shared" si="24"/>
        <v>27.959710730675173</v>
      </c>
      <c r="AE78" s="80">
        <f t="shared" si="24"/>
        <v>58.722186508271335</v>
      </c>
    </row>
    <row r="79" spans="1:31" ht="15.75" customHeight="1">
      <c r="A79" s="40" t="s">
        <v>67</v>
      </c>
      <c r="B79" s="193">
        <v>278586.39742543001</v>
      </c>
      <c r="D79" s="175">
        <f>'1.Reel GSYH '!D76</f>
        <v>328447.90000000002</v>
      </c>
      <c r="E79" s="72">
        <f>'1.Reel GSYH '!E76</f>
        <v>13576.9</v>
      </c>
      <c r="F79" s="72">
        <f>'1.Reel GSYH '!F76</f>
        <v>17942.900000000001</v>
      </c>
      <c r="G79" s="72">
        <f>'1.Reel GSYH '!G76</f>
        <v>57638.6</v>
      </c>
      <c r="H79" s="72">
        <f>'1.Reel GSYH '!H76</f>
        <v>79705.3</v>
      </c>
      <c r="I79" s="176">
        <f>'1.Reel GSYH '!I76</f>
        <v>159584.20000000001</v>
      </c>
      <c r="J79" s="83"/>
      <c r="K79" s="173">
        <f t="shared" si="26"/>
        <v>117.89803918474395</v>
      </c>
      <c r="L79" s="77">
        <f t="shared" si="15"/>
        <v>4.8734971001712912</v>
      </c>
      <c r="M79" s="77">
        <f t="shared" si="15"/>
        <v>6.4406949390997559</v>
      </c>
      <c r="N79" s="77">
        <f t="shared" si="16"/>
        <v>20.689667741379324</v>
      </c>
      <c r="O79" s="77">
        <f t="shared" si="17"/>
        <v>28.610621601270015</v>
      </c>
      <c r="P79" s="79">
        <f t="shared" si="17"/>
        <v>57.28355780282358</v>
      </c>
      <c r="R79" s="81" t="e">
        <f t="shared" si="18"/>
        <v>#DIV/0!</v>
      </c>
      <c r="S79" s="77" t="e">
        <f t="shared" si="19"/>
        <v>#DIV/0!</v>
      </c>
      <c r="T79" s="77" t="e">
        <f t="shared" si="19"/>
        <v>#DIV/0!</v>
      </c>
      <c r="U79" s="77" t="e">
        <f t="shared" si="20"/>
        <v>#DIV/0!</v>
      </c>
      <c r="V79" s="78" t="e">
        <f t="shared" si="11"/>
        <v>#DIV/0!</v>
      </c>
      <c r="W79" s="77" t="e">
        <f t="shared" si="25"/>
        <v>#DIV/0!</v>
      </c>
      <c r="Y79" s="152">
        <f t="shared" si="12"/>
        <v>2.4281146955731803</v>
      </c>
      <c r="Z79" s="77">
        <f t="shared" si="21"/>
        <v>120.76073879998137</v>
      </c>
      <c r="AA79" s="77">
        <f t="shared" si="22"/>
        <v>4.9918311994488835</v>
      </c>
      <c r="AB79" s="77">
        <f t="shared" si="22"/>
        <v>6.5970823994130745</v>
      </c>
      <c r="AC79" s="77">
        <f t="shared" si="23"/>
        <v>21.192036604273024</v>
      </c>
      <c r="AD79" s="77">
        <f t="shared" si="24"/>
        <v>29.305320308865284</v>
      </c>
      <c r="AE79" s="80">
        <f t="shared" si="24"/>
        <v>58.674468287981099</v>
      </c>
    </row>
    <row r="80" spans="1:31" ht="15.75" customHeight="1">
      <c r="A80" s="40" t="s">
        <v>68</v>
      </c>
      <c r="B80" s="193">
        <v>277764.58138684998</v>
      </c>
      <c r="D80" s="175">
        <f>'1.Reel GSYH '!D77</f>
        <v>300063.69999999995</v>
      </c>
      <c r="E80" s="72">
        <f>'1.Reel GSYH '!E77</f>
        <v>12003.8</v>
      </c>
      <c r="F80" s="72">
        <f>'1.Reel GSYH '!F77</f>
        <v>16858.8</v>
      </c>
      <c r="G80" s="72">
        <f>'1.Reel GSYH '!G77</f>
        <v>48168.800000000003</v>
      </c>
      <c r="H80" s="72">
        <f>'1.Reel GSYH '!H77</f>
        <v>75229.899999999994</v>
      </c>
      <c r="I80" s="176">
        <f>'1.Reel GSYH '!I77</f>
        <v>147802.4</v>
      </c>
      <c r="J80" s="83"/>
      <c r="K80" s="173">
        <f t="shared" si="26"/>
        <v>108.02806409003365</v>
      </c>
      <c r="L80" s="77">
        <f t="shared" si="15"/>
        <v>4.3215733050147218</v>
      </c>
      <c r="M80" s="77">
        <f t="shared" si="15"/>
        <v>6.0694563417069753</v>
      </c>
      <c r="N80" s="77">
        <f t="shared" si="16"/>
        <v>17.34159184713117</v>
      </c>
      <c r="O80" s="77">
        <f t="shared" si="17"/>
        <v>27.084050682194555</v>
      </c>
      <c r="P80" s="79">
        <f t="shared" si="17"/>
        <v>53.211391913986226</v>
      </c>
      <c r="R80" s="81">
        <f t="shared" si="18"/>
        <v>9.7383041058647137</v>
      </c>
      <c r="S80" s="77">
        <f t="shared" si="19"/>
        <v>26.725293751253652</v>
      </c>
      <c r="T80" s="77">
        <f t="shared" si="19"/>
        <v>9.1459980189173784</v>
      </c>
      <c r="U80" s="77">
        <f t="shared" si="20"/>
        <v>4.2933016353475795</v>
      </c>
      <c r="V80" s="78">
        <f t="shared" si="11"/>
        <v>4.2202106849755117</v>
      </c>
      <c r="W80" s="77">
        <f t="shared" si="25"/>
        <v>13.565039132432499</v>
      </c>
      <c r="Y80" s="152">
        <f t="shared" si="12"/>
        <v>8.2576938104222499</v>
      </c>
      <c r="Z80" s="77">
        <f t="shared" si="21"/>
        <v>10.378162170248501</v>
      </c>
      <c r="AA80" s="77">
        <f t="shared" si="22"/>
        <v>0.98664253920625422</v>
      </c>
      <c r="AB80" s="77">
        <f t="shared" si="22"/>
        <v>0.55059447566133679</v>
      </c>
      <c r="AC80" s="77">
        <f t="shared" si="23"/>
        <v>0.77282776653844865</v>
      </c>
      <c r="AD80" s="77">
        <f t="shared" si="24"/>
        <v>1.1872838898613471</v>
      </c>
      <c r="AE80" s="80">
        <f t="shared" si="24"/>
        <v>6.8808134989811283</v>
      </c>
    </row>
    <row r="81" spans="1:31" ht="15.75" customHeight="1">
      <c r="A81" s="40" t="s">
        <v>69</v>
      </c>
      <c r="B81" s="193">
        <v>288321.60576005001</v>
      </c>
      <c r="D81" s="175">
        <f>'1.Reel GSYH '!D78</f>
        <v>338610.7</v>
      </c>
      <c r="E81" s="72">
        <f>'1.Reel GSYH '!E78</f>
        <v>14470.4</v>
      </c>
      <c r="F81" s="72">
        <f>'1.Reel GSYH '!F78</f>
        <v>19772.900000000001</v>
      </c>
      <c r="G81" s="72">
        <f>'1.Reel GSYH '!G78</f>
        <v>57817.9</v>
      </c>
      <c r="H81" s="72">
        <f>'1.Reel GSYH '!H78</f>
        <v>79709.3</v>
      </c>
      <c r="I81" s="176">
        <f>'1.Reel GSYH '!I78</f>
        <v>166840.20000000001</v>
      </c>
      <c r="J81" s="83"/>
      <c r="K81" s="173">
        <f t="shared" si="26"/>
        <v>117.44201379129461</v>
      </c>
      <c r="L81" s="77">
        <f t="shared" si="15"/>
        <v>5.0188399727638542</v>
      </c>
      <c r="M81" s="77">
        <f t="shared" si="15"/>
        <v>6.8579321164212752</v>
      </c>
      <c r="N81" s="77">
        <f t="shared" si="16"/>
        <v>20.053266506887386</v>
      </c>
      <c r="O81" s="77">
        <f t="shared" si="17"/>
        <v>27.645968393480892</v>
      </c>
      <c r="P81" s="79">
        <f t="shared" si="17"/>
        <v>57.866006801741207</v>
      </c>
      <c r="R81" s="81">
        <f t="shared" si="18"/>
        <v>11.734305142486434</v>
      </c>
      <c r="S81" s="77">
        <f t="shared" si="19"/>
        <v>4.3483277326679781</v>
      </c>
      <c r="T81" s="77">
        <f t="shared" si="19"/>
        <v>33.41047560572428</v>
      </c>
      <c r="U81" s="77">
        <f t="shared" si="20"/>
        <v>5.9298697539267087</v>
      </c>
      <c r="V81" s="78">
        <f t="shared" ref="V81:V106" si="27">(H81/H77-1)*100</f>
        <v>5.3413878595329978</v>
      </c>
      <c r="W81" s="77">
        <f t="shared" si="25"/>
        <v>15.770804059328647</v>
      </c>
      <c r="Y81" s="152">
        <f t="shared" ref="Y81:Y106" si="28">(B81/B77-1)*100</f>
        <v>8.0429741245152222</v>
      </c>
      <c r="Z81" s="77">
        <f t="shared" si="21"/>
        <v>13.325725569954571</v>
      </c>
      <c r="AA81" s="77">
        <f t="shared" si="22"/>
        <v>0.22596264759742776</v>
      </c>
      <c r="AB81" s="77">
        <f t="shared" si="22"/>
        <v>1.8555917717627577</v>
      </c>
      <c r="AC81" s="77">
        <f t="shared" si="23"/>
        <v>1.2128535741522957</v>
      </c>
      <c r="AD81" s="77">
        <f t="shared" si="24"/>
        <v>1.5145493081169537</v>
      </c>
      <c r="AE81" s="80">
        <f t="shared" si="24"/>
        <v>8.5167682683251442</v>
      </c>
    </row>
    <row r="82" spans="1:31" ht="15.75" customHeight="1">
      <c r="A82" s="40" t="s">
        <v>70</v>
      </c>
      <c r="B82" s="193">
        <v>296310.13769455999</v>
      </c>
      <c r="D82" s="175">
        <f>'1.Reel GSYH '!D79</f>
        <v>394172.1</v>
      </c>
      <c r="E82" s="72">
        <f>'1.Reel GSYH '!E79</f>
        <v>14482.6</v>
      </c>
      <c r="F82" s="72">
        <f>'1.Reel GSYH '!F79</f>
        <v>20155.3</v>
      </c>
      <c r="G82" s="72">
        <f>'1.Reel GSYH '!G79</f>
        <v>79079.899999999994</v>
      </c>
      <c r="H82" s="72">
        <f>'1.Reel GSYH '!H79</f>
        <v>85003.1</v>
      </c>
      <c r="I82" s="176">
        <f>'1.Reel GSYH '!I79</f>
        <v>195451.2</v>
      </c>
      <c r="J82" s="83"/>
      <c r="K82" s="173">
        <f t="shared" si="26"/>
        <v>133.02686943715617</v>
      </c>
      <c r="L82" s="77">
        <f t="shared" si="15"/>
        <v>4.8876491748415427</v>
      </c>
      <c r="M82" s="77">
        <f t="shared" si="15"/>
        <v>6.802095991996171</v>
      </c>
      <c r="N82" s="77">
        <f t="shared" si="16"/>
        <v>26.688219517320899</v>
      </c>
      <c r="O82" s="77">
        <f t="shared" si="17"/>
        <v>28.687206135222489</v>
      </c>
      <c r="P82" s="79">
        <f t="shared" si="17"/>
        <v>65.961698617775085</v>
      </c>
      <c r="R82" s="81">
        <f t="shared" si="18"/>
        <v>15.764159205487992</v>
      </c>
      <c r="S82" s="77">
        <f t="shared" si="19"/>
        <v>10.802870564472933</v>
      </c>
      <c r="T82" s="77">
        <f t="shared" si="19"/>
        <v>20.924302693232999</v>
      </c>
      <c r="U82" s="77">
        <f t="shared" si="20"/>
        <v>14.852237210545249</v>
      </c>
      <c r="V82" s="78">
        <f t="shared" si="27"/>
        <v>8.9400646439584222</v>
      </c>
      <c r="W82" s="77">
        <f t="shared" si="25"/>
        <v>19.267375127001142</v>
      </c>
      <c r="Y82" s="152">
        <f t="shared" si="28"/>
        <v>8.4385931222729749</v>
      </c>
      <c r="Z82" s="77">
        <f t="shared" si="21"/>
        <v>19.643548146196014</v>
      </c>
      <c r="AA82" s="77">
        <f t="shared" si="22"/>
        <v>0.51673997616133704</v>
      </c>
      <c r="AB82" s="77">
        <f t="shared" si="22"/>
        <v>1.2763331025922653</v>
      </c>
      <c r="AC82" s="77">
        <f t="shared" si="23"/>
        <v>3.7424490214013284</v>
      </c>
      <c r="AD82" s="77">
        <f t="shared" si="24"/>
        <v>2.5528491867624967</v>
      </c>
      <c r="AE82" s="80">
        <f t="shared" si="24"/>
        <v>11.555176859278594</v>
      </c>
    </row>
    <row r="83" spans="1:31" ht="15.75" customHeight="1">
      <c r="A83" s="40" t="s">
        <v>71</v>
      </c>
      <c r="B83" s="193">
        <v>305268.15431354998</v>
      </c>
      <c r="D83" s="175">
        <f>'1.Reel GSYH '!D80</f>
        <v>375040.8</v>
      </c>
      <c r="E83" s="72">
        <f>'1.Reel GSYH '!E80</f>
        <v>18909.400000000001</v>
      </c>
      <c r="F83" s="72">
        <f>'1.Reel GSYH '!F80</f>
        <v>20018.2</v>
      </c>
      <c r="G83" s="72">
        <f>'1.Reel GSYH '!G80</f>
        <v>62600.9</v>
      </c>
      <c r="H83" s="72">
        <f>'1.Reel GSYH '!H80</f>
        <v>87438.399999999994</v>
      </c>
      <c r="I83" s="176">
        <f>'1.Reel GSYH '!I80</f>
        <v>186073.9</v>
      </c>
      <c r="J83" s="83"/>
      <c r="K83" s="173">
        <f t="shared" si="26"/>
        <v>122.85618224519564</v>
      </c>
      <c r="L83" s="77">
        <f t="shared" si="15"/>
        <v>6.1943572340590745</v>
      </c>
      <c r="M83" s="77">
        <f t="shared" si="15"/>
        <v>6.5575788752071107</v>
      </c>
      <c r="N83" s="77">
        <f t="shared" si="16"/>
        <v>20.506855731731768</v>
      </c>
      <c r="O83" s="77">
        <f t="shared" si="17"/>
        <v>28.643144974168976</v>
      </c>
      <c r="P83" s="79">
        <f t="shared" si="17"/>
        <v>60.954245430028699</v>
      </c>
      <c r="R83" s="81">
        <f t="shared" si="18"/>
        <v>14.185781062993531</v>
      </c>
      <c r="S83" s="77">
        <f t="shared" si="19"/>
        <v>39.276270724539501</v>
      </c>
      <c r="T83" s="77">
        <f t="shared" si="19"/>
        <v>11.566134794264027</v>
      </c>
      <c r="U83" s="77">
        <f t="shared" si="20"/>
        <v>8.6093347166655612</v>
      </c>
      <c r="V83" s="78">
        <f t="shared" si="27"/>
        <v>9.7021151667454841</v>
      </c>
      <c r="W83" s="77">
        <f t="shared" si="25"/>
        <v>16.59919967014276</v>
      </c>
      <c r="Y83" s="152">
        <f t="shared" si="28"/>
        <v>9.5775519317169646</v>
      </c>
      <c r="Z83" s="77">
        <f t="shared" si="21"/>
        <v>16.724757716310112</v>
      </c>
      <c r="AA83" s="77">
        <f t="shared" si="22"/>
        <v>1.9141279148158576</v>
      </c>
      <c r="AB83" s="77">
        <f t="shared" si="22"/>
        <v>0.74493945834361874</v>
      </c>
      <c r="AC83" s="77">
        <f t="shared" si="23"/>
        <v>1.7812427476213282</v>
      </c>
      <c r="AD83" s="77">
        <f t="shared" si="24"/>
        <v>2.7758354576769784</v>
      </c>
      <c r="AE83" s="80">
        <f t="shared" si="24"/>
        <v>9.5086121378523352</v>
      </c>
    </row>
    <row r="84" spans="1:31" ht="15.75" customHeight="1">
      <c r="A84" s="40" t="s">
        <v>72</v>
      </c>
      <c r="B84" s="193">
        <v>312148.46555150999</v>
      </c>
      <c r="D84" s="175">
        <f>'1.Reel GSYH '!D81</f>
        <v>359659.9</v>
      </c>
      <c r="E84" s="72">
        <f>'1.Reel GSYH '!E81</f>
        <v>16529.5</v>
      </c>
      <c r="F84" s="72">
        <f>'1.Reel GSYH '!F81</f>
        <v>23137.9</v>
      </c>
      <c r="G84" s="72">
        <f>'1.Reel GSYH '!G81</f>
        <v>55977.4</v>
      </c>
      <c r="H84" s="72">
        <f>'1.Reel GSYH '!H81</f>
        <v>84085.8</v>
      </c>
      <c r="I84" s="176">
        <f>'1.Reel GSYH '!I81</f>
        <v>179929.3</v>
      </c>
      <c r="J84" s="83"/>
      <c r="K84" s="173">
        <f t="shared" si="26"/>
        <v>115.22078103589133</v>
      </c>
      <c r="L84" s="77">
        <f t="shared" si="15"/>
        <v>5.2953968461114673</v>
      </c>
      <c r="M84" s="77">
        <f t="shared" si="15"/>
        <v>7.4124663592753883</v>
      </c>
      <c r="N84" s="77">
        <f t="shared" si="16"/>
        <v>17.932940948819994</v>
      </c>
      <c r="O84" s="77">
        <f t="shared" si="17"/>
        <v>26.937758560316986</v>
      </c>
      <c r="P84" s="79">
        <f t="shared" si="17"/>
        <v>57.642218321367487</v>
      </c>
      <c r="R84" s="81">
        <f t="shared" si="18"/>
        <v>19.861182808850273</v>
      </c>
      <c r="S84" s="77">
        <f t="shared" si="19"/>
        <v>37.702227627917836</v>
      </c>
      <c r="T84" s="77">
        <f t="shared" si="19"/>
        <v>37.245236908914059</v>
      </c>
      <c r="U84" s="77">
        <f t="shared" si="20"/>
        <v>16.210908305791307</v>
      </c>
      <c r="V84" s="78">
        <f t="shared" si="27"/>
        <v>11.771782230203698</v>
      </c>
      <c r="W84" s="77">
        <f t="shared" si="25"/>
        <v>21.736385877360576</v>
      </c>
      <c r="Y84" s="152">
        <f t="shared" si="28"/>
        <v>12.378786378372929</v>
      </c>
      <c r="Z84" s="77">
        <f t="shared" si="21"/>
        <v>21.455651293783525</v>
      </c>
      <c r="AA84" s="77">
        <f t="shared" si="22"/>
        <v>1.6293294045639821</v>
      </c>
      <c r="AB84" s="77">
        <f t="shared" si="22"/>
        <v>2.2605833935518711</v>
      </c>
      <c r="AC84" s="77">
        <f t="shared" si="23"/>
        <v>2.8112295531030131</v>
      </c>
      <c r="AD84" s="77">
        <f t="shared" si="24"/>
        <v>3.1882754654259409</v>
      </c>
      <c r="AE84" s="80">
        <f t="shared" si="24"/>
        <v>11.566233477138693</v>
      </c>
    </row>
    <row r="85" spans="1:31" ht="15.75" customHeight="1">
      <c r="A85" s="40" t="s">
        <v>73</v>
      </c>
      <c r="B85" s="193">
        <v>320725.34022562002</v>
      </c>
      <c r="D85" s="175">
        <f>'1.Reel GSYH '!D82</f>
        <v>399958.6</v>
      </c>
      <c r="E85" s="72">
        <f>'1.Reel GSYH '!E82</f>
        <v>19098.900000000001</v>
      </c>
      <c r="F85" s="72">
        <f>'1.Reel GSYH '!F82</f>
        <v>23366.5</v>
      </c>
      <c r="G85" s="72">
        <f>'1.Reel GSYH '!G82</f>
        <v>65328.2</v>
      </c>
      <c r="H85" s="72">
        <f>'1.Reel GSYH '!H82</f>
        <v>89968.1</v>
      </c>
      <c r="I85" s="176">
        <f>'1.Reel GSYH '!I82</f>
        <v>202196.9</v>
      </c>
      <c r="J85" s="83"/>
      <c r="K85" s="173">
        <f t="shared" si="26"/>
        <v>124.70439651529932</v>
      </c>
      <c r="L85" s="77">
        <f t="shared" si="15"/>
        <v>5.9549083295272327</v>
      </c>
      <c r="M85" s="77">
        <f t="shared" si="15"/>
        <v>7.2855172539726398</v>
      </c>
      <c r="N85" s="77">
        <f t="shared" si="16"/>
        <v>20.36889257145809</v>
      </c>
      <c r="O85" s="77">
        <f t="shared" si="17"/>
        <v>28.051447365122545</v>
      </c>
      <c r="P85" s="79">
        <f t="shared" si="17"/>
        <v>63.043630995218827</v>
      </c>
      <c r="R85" s="81">
        <f t="shared" si="18"/>
        <v>18.117531430636991</v>
      </c>
      <c r="S85" s="77">
        <f t="shared" si="19"/>
        <v>31.985985183547115</v>
      </c>
      <c r="T85" s="77">
        <f t="shared" si="19"/>
        <v>18.17436997102093</v>
      </c>
      <c r="U85" s="77">
        <f t="shared" si="20"/>
        <v>12.989575892586892</v>
      </c>
      <c r="V85" s="78">
        <f t="shared" si="27"/>
        <v>12.870267333924645</v>
      </c>
      <c r="W85" s="77">
        <f t="shared" si="25"/>
        <v>21.191954936520084</v>
      </c>
      <c r="Y85" s="152">
        <f t="shared" si="28"/>
        <v>11.238746531030831</v>
      </c>
      <c r="Z85" s="77">
        <f t="shared" si="21"/>
        <v>21.277593761410841</v>
      </c>
      <c r="AA85" s="77">
        <f t="shared" si="22"/>
        <v>1.6053254100741865</v>
      </c>
      <c r="AB85" s="77">
        <f t="shared" si="22"/>
        <v>1.2463859551998686</v>
      </c>
      <c r="AC85" s="77">
        <f t="shared" si="23"/>
        <v>2.6048342718548452</v>
      </c>
      <c r="AD85" s="77">
        <f t="shared" si="24"/>
        <v>3.5581100392933052</v>
      </c>
      <c r="AE85" s="80">
        <f t="shared" si="24"/>
        <v>12.262938084988644</v>
      </c>
    </row>
    <row r="86" spans="1:31" ht="15.75" customHeight="1">
      <c r="A86" s="40" t="s">
        <v>74</v>
      </c>
      <c r="B86" s="193">
        <v>329252.92395690997</v>
      </c>
      <c r="D86" s="175">
        <f>'1.Reel GSYH '!D83</f>
        <v>447356</v>
      </c>
      <c r="E86" s="72">
        <f>'1.Reel GSYH '!E83</f>
        <v>17801.8</v>
      </c>
      <c r="F86" s="72">
        <f>'1.Reel GSYH '!F83</f>
        <v>25012.9</v>
      </c>
      <c r="G86" s="72">
        <f>'1.Reel GSYH '!G83</f>
        <v>82795.899999999994</v>
      </c>
      <c r="H86" s="72">
        <f>'1.Reel GSYH '!H83</f>
        <v>92516.800000000003</v>
      </c>
      <c r="I86" s="176">
        <f>'1.Reel GSYH '!I83</f>
        <v>229228.6</v>
      </c>
      <c r="J86" s="83"/>
      <c r="K86" s="173">
        <f t="shared" si="26"/>
        <v>135.87001586007065</v>
      </c>
      <c r="L86" s="77">
        <f t="shared" si="15"/>
        <v>5.4067249535891007</v>
      </c>
      <c r="M86" s="77">
        <f t="shared" si="15"/>
        <v>7.5968649570059679</v>
      </c>
      <c r="N86" s="77">
        <f t="shared" si="16"/>
        <v>25.146595208623161</v>
      </c>
      <c r="O86" s="77">
        <f t="shared" si="17"/>
        <v>28.099006346898193</v>
      </c>
      <c r="P86" s="79">
        <f t="shared" si="17"/>
        <v>69.620824393954251</v>
      </c>
      <c r="R86" s="81">
        <f t="shared" si="18"/>
        <v>13.492558199832017</v>
      </c>
      <c r="S86" s="77">
        <f t="shared" si="19"/>
        <v>22.918536726830819</v>
      </c>
      <c r="T86" s="77">
        <f t="shared" si="19"/>
        <v>24.100856846586272</v>
      </c>
      <c r="U86" s="77">
        <f t="shared" si="20"/>
        <v>4.6990448900415815</v>
      </c>
      <c r="V86" s="78">
        <f t="shared" si="27"/>
        <v>8.8393246834527197</v>
      </c>
      <c r="W86" s="77">
        <f t="shared" si="25"/>
        <v>17.28175626447932</v>
      </c>
      <c r="Y86" s="152">
        <f t="shared" si="28"/>
        <v>11.117671004664654</v>
      </c>
      <c r="Z86" s="77">
        <f t="shared" si="21"/>
        <v>17.948727780222836</v>
      </c>
      <c r="AA86" s="77">
        <f t="shared" si="22"/>
        <v>1.120177671214702</v>
      </c>
      <c r="AB86" s="77">
        <f t="shared" si="22"/>
        <v>1.6393634175983793</v>
      </c>
      <c r="AC86" s="77">
        <f t="shared" si="23"/>
        <v>1.2540914154717504</v>
      </c>
      <c r="AD86" s="77">
        <f t="shared" si="24"/>
        <v>2.5357552929036831</v>
      </c>
      <c r="AE86" s="80">
        <f t="shared" si="24"/>
        <v>11.399339983034309</v>
      </c>
    </row>
    <row r="87" spans="1:31" ht="15.75" customHeight="1">
      <c r="A87" s="40" t="s">
        <v>75</v>
      </c>
      <c r="B87" s="193">
        <v>333721.91317498003</v>
      </c>
      <c r="D87" s="175">
        <f>'1.Reel GSYH '!D84</f>
        <v>431313</v>
      </c>
      <c r="E87" s="72">
        <f>'1.Reel GSYH '!E84</f>
        <v>19788.599999999999</v>
      </c>
      <c r="F87" s="72">
        <f>'1.Reel GSYH '!F84</f>
        <v>23775.3</v>
      </c>
      <c r="G87" s="72">
        <f>'1.Reel GSYH '!G84</f>
        <v>68534.600000000006</v>
      </c>
      <c r="H87" s="72">
        <f>'1.Reel GSYH '!H84</f>
        <v>94658.7</v>
      </c>
      <c r="I87" s="176">
        <f>'1.Reel GSYH '!I84</f>
        <v>224555.8</v>
      </c>
      <c r="J87" s="83"/>
      <c r="K87" s="173">
        <f t="shared" si="26"/>
        <v>129.2432360514037</v>
      </c>
      <c r="L87" s="77">
        <f t="shared" si="15"/>
        <v>5.9296675521646867</v>
      </c>
      <c r="M87" s="77">
        <f t="shared" si="15"/>
        <v>7.1242849394591374</v>
      </c>
      <c r="N87" s="77">
        <f t="shared" si="16"/>
        <v>20.536439860353234</v>
      </c>
      <c r="O87" s="77">
        <f t="shared" si="17"/>
        <v>28.364544329568108</v>
      </c>
      <c r="P87" s="79">
        <f t="shared" si="17"/>
        <v>67.288299369858549</v>
      </c>
      <c r="R87" s="81">
        <f t="shared" si="18"/>
        <v>15.004287533516347</v>
      </c>
      <c r="S87" s="77">
        <f t="shared" si="19"/>
        <v>4.6495393825292997</v>
      </c>
      <c r="T87" s="77">
        <f t="shared" si="19"/>
        <v>18.768420737129212</v>
      </c>
      <c r="U87" s="77">
        <f t="shared" si="20"/>
        <v>9.4786177195535615</v>
      </c>
      <c r="V87" s="78">
        <f t="shared" si="27"/>
        <v>8.2575847682482717</v>
      </c>
      <c r="W87" s="77">
        <f t="shared" si="25"/>
        <v>20.680976751709945</v>
      </c>
      <c r="Y87" s="152">
        <f t="shared" si="28"/>
        <v>9.3209063766947597</v>
      </c>
      <c r="Z87" s="77">
        <f t="shared" si="21"/>
        <v>18.433694836770023</v>
      </c>
      <c r="AA87" s="77">
        <f t="shared" si="22"/>
        <v>0.2880090790921298</v>
      </c>
      <c r="AB87" s="77">
        <f t="shared" si="22"/>
        <v>1.2307539934679756</v>
      </c>
      <c r="AC87" s="77">
        <f t="shared" si="23"/>
        <v>1.943766461111212</v>
      </c>
      <c r="AD87" s="77">
        <f t="shared" si="24"/>
        <v>2.3652319765342504</v>
      </c>
      <c r="AE87" s="80">
        <f t="shared" si="24"/>
        <v>12.60593332656445</v>
      </c>
    </row>
    <row r="88" spans="1:31" ht="15.75" customHeight="1">
      <c r="A88" s="40" t="s">
        <v>76</v>
      </c>
      <c r="B88" s="193">
        <v>330752.54329175001</v>
      </c>
      <c r="D88" s="175">
        <f>'1.Reel GSYH '!D85</f>
        <v>391855.9</v>
      </c>
      <c r="E88" s="72">
        <f>'1.Reel GSYH '!E85</f>
        <v>15596.4</v>
      </c>
      <c r="F88" s="72">
        <f>'1.Reel GSYH '!F85</f>
        <v>24269.3</v>
      </c>
      <c r="G88" s="72">
        <f>'1.Reel GSYH '!G85</f>
        <v>61055.8</v>
      </c>
      <c r="H88" s="72">
        <f>'1.Reel GSYH '!H85</f>
        <v>85587.8</v>
      </c>
      <c r="I88" s="176">
        <f>'1.Reel GSYH '!I85</f>
        <v>205346.6</v>
      </c>
      <c r="J88" s="83"/>
      <c r="K88" s="173">
        <f t="shared" si="26"/>
        <v>118.47403986682335</v>
      </c>
      <c r="L88" s="77">
        <f t="shared" si="15"/>
        <v>4.715428593467454</v>
      </c>
      <c r="M88" s="77">
        <f t="shared" si="15"/>
        <v>7.3376004182657333</v>
      </c>
      <c r="N88" s="77">
        <f t="shared" si="16"/>
        <v>18.45966153195803</v>
      </c>
      <c r="O88" s="77">
        <f t="shared" si="17"/>
        <v>25.876686887485175</v>
      </c>
      <c r="P88" s="79">
        <f t="shared" si="17"/>
        <v>62.084662435646941</v>
      </c>
      <c r="R88" s="81">
        <f t="shared" si="18"/>
        <v>8.9517902885476008</v>
      </c>
      <c r="S88" s="77">
        <f t="shared" si="19"/>
        <v>-5.6450588342055186</v>
      </c>
      <c r="T88" s="77">
        <f t="shared" si="19"/>
        <v>4.8898128179307498</v>
      </c>
      <c r="U88" s="77">
        <f t="shared" si="20"/>
        <v>9.0722327224915809</v>
      </c>
      <c r="V88" s="78">
        <f t="shared" si="27"/>
        <v>1.7862706901759839</v>
      </c>
      <c r="W88" s="77">
        <f t="shared" si="25"/>
        <v>14.126270707438993</v>
      </c>
      <c r="Y88" s="152">
        <f t="shared" si="28"/>
        <v>5.9600093523990205</v>
      </c>
      <c r="Z88" s="77">
        <f t="shared" si="21"/>
        <v>10.314322687159612</v>
      </c>
      <c r="AA88" s="77">
        <f t="shared" si="22"/>
        <v>-0.29892826746765555</v>
      </c>
      <c r="AB88" s="77">
        <f t="shared" si="22"/>
        <v>0.3624557301606523</v>
      </c>
      <c r="AC88" s="77">
        <f t="shared" si="23"/>
        <v>1.6269181368639394</v>
      </c>
      <c r="AD88" s="77">
        <f t="shared" si="24"/>
        <v>0.48118128575331526</v>
      </c>
      <c r="AE88" s="80">
        <f t="shared" si="24"/>
        <v>8.1426958018493654</v>
      </c>
    </row>
    <row r="89" spans="1:31" ht="15.75" customHeight="1">
      <c r="A89" s="40" t="s">
        <v>77</v>
      </c>
      <c r="B89" s="193">
        <v>336466.38233967999</v>
      </c>
      <c r="D89" s="175">
        <f>'1.Reel GSYH '!D86</f>
        <v>429823.8</v>
      </c>
      <c r="E89" s="72">
        <f>'1.Reel GSYH '!E86</f>
        <v>19039.5</v>
      </c>
      <c r="F89" s="72">
        <f>'1.Reel GSYH '!F86</f>
        <v>23123.3</v>
      </c>
      <c r="G89" s="72">
        <f>'1.Reel GSYH '!G86</f>
        <v>66515.199999999997</v>
      </c>
      <c r="H89" s="72">
        <f>'1.Reel GSYH '!H86</f>
        <v>93847.4</v>
      </c>
      <c r="I89" s="176">
        <f>'1.Reel GSYH '!I86</f>
        <v>227298.4</v>
      </c>
      <c r="J89" s="83"/>
      <c r="K89" s="173">
        <f t="shared" si="26"/>
        <v>127.74643249977673</v>
      </c>
      <c r="L89" s="77">
        <f t="shared" ref="L89:M106" si="29">E89/$B89*100</f>
        <v>5.6586633908580657</v>
      </c>
      <c r="M89" s="77">
        <f t="shared" si="29"/>
        <v>6.8723953457721212</v>
      </c>
      <c r="N89" s="77">
        <f t="shared" ref="N89:N106" si="30">G89/$B89*100</f>
        <v>19.768750606665218</v>
      </c>
      <c r="O89" s="77">
        <f t="shared" ref="O89:P106" si="31">H89/$B89*100</f>
        <v>27.892058442039612</v>
      </c>
      <c r="P89" s="79">
        <f t="shared" si="31"/>
        <v>67.55456471444171</v>
      </c>
      <c r="R89" s="81">
        <f t="shared" si="18"/>
        <v>7.4670728420391574</v>
      </c>
      <c r="S89" s="77">
        <f t="shared" si="19"/>
        <v>-0.31101267612271277</v>
      </c>
      <c r="T89" s="77">
        <f t="shared" si="19"/>
        <v>-1.0408062824984521</v>
      </c>
      <c r="U89" s="77">
        <f t="shared" si="20"/>
        <v>1.8169794973686759</v>
      </c>
      <c r="V89" s="78">
        <f t="shared" si="27"/>
        <v>4.3118616487399342</v>
      </c>
      <c r="W89" s="77">
        <f t="shared" si="25"/>
        <v>12.414384196790351</v>
      </c>
      <c r="Y89" s="152">
        <f t="shared" si="28"/>
        <v>4.9079508663040672</v>
      </c>
      <c r="Z89" s="77">
        <f t="shared" si="21"/>
        <v>9.3117681250227378</v>
      </c>
      <c r="AA89" s="77">
        <f t="shared" si="22"/>
        <v>-1.8520519756317182E-2</v>
      </c>
      <c r="AB89" s="77">
        <f t="shared" si="22"/>
        <v>-7.5828121291855927E-2</v>
      </c>
      <c r="AC89" s="77">
        <f t="shared" si="23"/>
        <v>0.37009860186444371</v>
      </c>
      <c r="AD89" s="77">
        <f t="shared" si="24"/>
        <v>1.2095396008531865</v>
      </c>
      <c r="AE89" s="80">
        <f t="shared" si="24"/>
        <v>7.8264785633532714</v>
      </c>
    </row>
    <row r="90" spans="1:31" ht="15.75" customHeight="1">
      <c r="A90" s="40" t="s">
        <v>78</v>
      </c>
      <c r="B90" s="193">
        <v>342404.32039543003</v>
      </c>
      <c r="D90" s="175">
        <f>'1.Reel GSYH '!D87</f>
        <v>478041.59999999998</v>
      </c>
      <c r="E90" s="72">
        <f>'1.Reel GSYH '!E87</f>
        <v>17876.3</v>
      </c>
      <c r="F90" s="72">
        <f>'1.Reel GSYH '!F87</f>
        <v>24778.1</v>
      </c>
      <c r="G90" s="72">
        <f>'1.Reel GSYH '!G87</f>
        <v>83205.2</v>
      </c>
      <c r="H90" s="72">
        <f>'1.Reel GSYH '!H87</f>
        <v>96918.3</v>
      </c>
      <c r="I90" s="176">
        <f>'1.Reel GSYH '!I87</f>
        <v>255263.7</v>
      </c>
      <c r="J90" s="83"/>
      <c r="K90" s="173">
        <f t="shared" si="26"/>
        <v>139.6131916349442</v>
      </c>
      <c r="L90" s="77">
        <f t="shared" si="29"/>
        <v>5.2208161332062994</v>
      </c>
      <c r="M90" s="77">
        <f t="shared" si="29"/>
        <v>7.2365033161335965</v>
      </c>
      <c r="N90" s="77">
        <f t="shared" si="30"/>
        <v>24.30027749179958</v>
      </c>
      <c r="O90" s="77">
        <f t="shared" si="31"/>
        <v>28.30522111639031</v>
      </c>
      <c r="P90" s="79">
        <f t="shared" si="31"/>
        <v>74.550373577414391</v>
      </c>
      <c r="R90" s="81">
        <f t="shared" si="18"/>
        <v>6.8593245647761369</v>
      </c>
      <c r="S90" s="77">
        <f t="shared" si="19"/>
        <v>0.41849700592075934</v>
      </c>
      <c r="T90" s="77">
        <f t="shared" si="19"/>
        <v>-0.93871562273868392</v>
      </c>
      <c r="U90" s="77">
        <f t="shared" si="20"/>
        <v>0.49434815008955191</v>
      </c>
      <c r="V90" s="78">
        <f t="shared" si="27"/>
        <v>4.7575143109143347</v>
      </c>
      <c r="W90" s="77">
        <f t="shared" si="25"/>
        <v>11.357701438651201</v>
      </c>
      <c r="Y90" s="152">
        <f t="shared" si="28"/>
        <v>3.9943142434298418</v>
      </c>
      <c r="Z90" s="77">
        <f t="shared" si="21"/>
        <v>9.3197653740550734</v>
      </c>
      <c r="AA90" s="77">
        <f t="shared" si="22"/>
        <v>2.2626982049140428E-2</v>
      </c>
      <c r="AB90" s="77">
        <f t="shared" si="22"/>
        <v>-7.1312958189775011E-2</v>
      </c>
      <c r="AC90" s="77">
        <f t="shared" si="23"/>
        <v>0.12431172822433884</v>
      </c>
      <c r="AD90" s="77">
        <f t="shared" si="24"/>
        <v>1.3368142481784104</v>
      </c>
      <c r="AE90" s="80">
        <f t="shared" si="24"/>
        <v>7.9073253737929674</v>
      </c>
    </row>
    <row r="91" spans="1:31" ht="15.75" customHeight="1">
      <c r="A91" s="40" t="s">
        <v>79</v>
      </c>
      <c r="B91" s="193">
        <v>347892.69131667999</v>
      </c>
      <c r="D91" s="175">
        <f>'1.Reel GSYH '!D88</f>
        <v>464333.1</v>
      </c>
      <c r="E91" s="72">
        <f>'1.Reel GSYH '!E88</f>
        <v>21628.9</v>
      </c>
      <c r="F91" s="72">
        <f>'1.Reel GSYH '!F88</f>
        <v>23720.3</v>
      </c>
      <c r="G91" s="72">
        <f>'1.Reel GSYH '!G88</f>
        <v>71171.100000000006</v>
      </c>
      <c r="H91" s="72">
        <f>'1.Reel GSYH '!H88</f>
        <v>100744.9</v>
      </c>
      <c r="I91" s="176">
        <f>'1.Reel GSYH '!I88</f>
        <v>247067.9</v>
      </c>
      <c r="J91" s="83"/>
      <c r="K91" s="173">
        <f t="shared" si="26"/>
        <v>133.47020836874279</v>
      </c>
      <c r="L91" s="77">
        <f t="shared" si="29"/>
        <v>6.2171182493488004</v>
      </c>
      <c r="M91" s="77">
        <f t="shared" si="29"/>
        <v>6.8182806342453075</v>
      </c>
      <c r="N91" s="77">
        <f t="shared" si="30"/>
        <v>20.457773841306235</v>
      </c>
      <c r="O91" s="77">
        <f t="shared" si="31"/>
        <v>28.958613536463705</v>
      </c>
      <c r="P91" s="79">
        <f t="shared" si="31"/>
        <v>71.018422107378754</v>
      </c>
      <c r="R91" s="81">
        <f t="shared" si="18"/>
        <v>7.6557163823024021</v>
      </c>
      <c r="S91" s="77">
        <f t="shared" si="19"/>
        <v>9.2997988740992419</v>
      </c>
      <c r="T91" s="77">
        <f t="shared" si="19"/>
        <v>-0.23133251736044969</v>
      </c>
      <c r="U91" s="77">
        <f t="shared" si="20"/>
        <v>3.846961972492724</v>
      </c>
      <c r="V91" s="78">
        <f t="shared" si="27"/>
        <v>6.4296255917311251</v>
      </c>
      <c r="W91" s="77">
        <f t="shared" si="25"/>
        <v>10.025169690562441</v>
      </c>
      <c r="Y91" s="152">
        <f t="shared" si="28"/>
        <v>4.246283382137328</v>
      </c>
      <c r="Z91" s="77">
        <f t="shared" si="21"/>
        <v>9.8944955954050844</v>
      </c>
      <c r="AA91" s="77">
        <f t="shared" si="22"/>
        <v>0.55144715625403973</v>
      </c>
      <c r="AB91" s="77">
        <f t="shared" si="22"/>
        <v>-1.648078769438251E-2</v>
      </c>
      <c r="AC91" s="77">
        <f t="shared" si="23"/>
        <v>0.79002903193162721</v>
      </c>
      <c r="AD91" s="77">
        <f t="shared" si="24"/>
        <v>1.8237340011918326</v>
      </c>
      <c r="AE91" s="80">
        <f t="shared" si="24"/>
        <v>6.7457661937219751</v>
      </c>
    </row>
    <row r="92" spans="1:31" ht="15.75" customHeight="1">
      <c r="A92" s="40" t="s">
        <v>80</v>
      </c>
      <c r="B92" s="193">
        <v>358085.54929037002</v>
      </c>
      <c r="D92" s="175">
        <f>'1.Reel GSYH '!D89</f>
        <v>430538.7</v>
      </c>
      <c r="E92" s="72">
        <f>'1.Reel GSYH '!E89</f>
        <v>19582.400000000001</v>
      </c>
      <c r="F92" s="72">
        <f>'1.Reel GSYH '!F89</f>
        <v>23518.2</v>
      </c>
      <c r="G92" s="72">
        <f>'1.Reel GSYH '!G89</f>
        <v>60923.3</v>
      </c>
      <c r="H92" s="72">
        <f>'1.Reel GSYH '!H89</f>
        <v>95922</v>
      </c>
      <c r="I92" s="176">
        <f>'1.Reel GSYH '!I89</f>
        <v>230592.8</v>
      </c>
      <c r="J92" s="83"/>
      <c r="K92" s="173">
        <f t="shared" si="26"/>
        <v>120.23347517184449</v>
      </c>
      <c r="L92" s="77">
        <f t="shared" si="29"/>
        <v>5.4686373239040478</v>
      </c>
      <c r="M92" s="77">
        <f t="shared" si="29"/>
        <v>6.567760147430354</v>
      </c>
      <c r="N92" s="77">
        <f t="shared" si="30"/>
        <v>17.013615914055656</v>
      </c>
      <c r="O92" s="77">
        <f t="shared" si="31"/>
        <v>26.787453498219016</v>
      </c>
      <c r="P92" s="79">
        <f t="shared" si="31"/>
        <v>64.396008288235421</v>
      </c>
      <c r="R92" s="81">
        <f t="shared" si="18"/>
        <v>9.8716900779087347</v>
      </c>
      <c r="S92" s="77">
        <f t="shared" si="19"/>
        <v>25.557179862019463</v>
      </c>
      <c r="T92" s="77">
        <f t="shared" si="19"/>
        <v>-3.0948564647517607</v>
      </c>
      <c r="U92" s="77">
        <f t="shared" si="20"/>
        <v>-0.21701459975956849</v>
      </c>
      <c r="V92" s="78">
        <f t="shared" si="27"/>
        <v>12.074384433295403</v>
      </c>
      <c r="W92" s="77">
        <f t="shared" si="25"/>
        <v>12.294432924625976</v>
      </c>
      <c r="Y92" s="152">
        <f t="shared" si="28"/>
        <v>8.2638838469973876</v>
      </c>
      <c r="Z92" s="77">
        <f t="shared" si="21"/>
        <v>11.695390038430842</v>
      </c>
      <c r="AA92" s="77">
        <f t="shared" si="22"/>
        <v>1.2051305668975714</v>
      </c>
      <c r="AB92" s="77">
        <f t="shared" si="22"/>
        <v>-0.22708820090234913</v>
      </c>
      <c r="AC92" s="77">
        <f t="shared" si="23"/>
        <v>-4.0060160590548954E-2</v>
      </c>
      <c r="AD92" s="77">
        <f t="shared" si="24"/>
        <v>3.1244506533951006</v>
      </c>
      <c r="AE92" s="80">
        <f t="shared" si="24"/>
        <v>7.6329571796310658</v>
      </c>
    </row>
    <row r="93" spans="1:31" ht="15.75" customHeight="1">
      <c r="A93" s="40" t="s">
        <v>81</v>
      </c>
      <c r="B93" s="193">
        <v>368598.13948244002</v>
      </c>
      <c r="D93" s="175">
        <f>'1.Reel GSYH '!D90</f>
        <v>479025.19999999995</v>
      </c>
      <c r="E93" s="72">
        <f>'1.Reel GSYH '!E90</f>
        <v>23535.3</v>
      </c>
      <c r="F93" s="72">
        <f>'1.Reel GSYH '!F90</f>
        <v>23940.5</v>
      </c>
      <c r="G93" s="72">
        <f>'1.Reel GSYH '!G90</f>
        <v>68391.399999999994</v>
      </c>
      <c r="H93" s="72">
        <f>'1.Reel GSYH '!H90</f>
        <v>104935.2</v>
      </c>
      <c r="I93" s="176">
        <f>'1.Reel GSYH '!I90</f>
        <v>258222.8</v>
      </c>
      <c r="J93" s="83"/>
      <c r="K93" s="173">
        <f t="shared" si="26"/>
        <v>129.95865922508833</v>
      </c>
      <c r="L93" s="77">
        <f t="shared" si="29"/>
        <v>6.3850837752590497</v>
      </c>
      <c r="M93" s="77">
        <f t="shared" si="29"/>
        <v>6.4950137929658549</v>
      </c>
      <c r="N93" s="77">
        <f t="shared" si="30"/>
        <v>18.554461532559678</v>
      </c>
      <c r="O93" s="77">
        <f t="shared" si="31"/>
        <v>28.468727527312737</v>
      </c>
      <c r="P93" s="79">
        <f t="shared" si="31"/>
        <v>70.055372596991006</v>
      </c>
      <c r="R93" s="81">
        <f t="shared" ref="R93:R106" si="32">(D93/D89-1)*100</f>
        <v>11.446876603854882</v>
      </c>
      <c r="S93" s="77">
        <f t="shared" ref="S93:T106" si="33">(E93/E89-1)*100</f>
        <v>23.613015047664064</v>
      </c>
      <c r="T93" s="77">
        <f t="shared" si="33"/>
        <v>3.5340976417725933</v>
      </c>
      <c r="U93" s="77">
        <f t="shared" ref="U93:U106" si="34">(G93/G89-1)*100</f>
        <v>2.8207086500529055</v>
      </c>
      <c r="V93" s="78">
        <f t="shared" si="27"/>
        <v>11.814711968578774</v>
      </c>
      <c r="W93" s="77">
        <f t="shared" ref="W93:W106" si="35">(I93/I89-1)*100</f>
        <v>13.605199156703263</v>
      </c>
      <c r="Y93" s="152">
        <f t="shared" si="28"/>
        <v>9.5497674743390437</v>
      </c>
      <c r="Z93" s="77">
        <f t="shared" ref="Z93:Z106" si="36">((D93-D89)/$B89)*100</f>
        <v>14.622976494076202</v>
      </c>
      <c r="AA93" s="77">
        <f t="shared" ref="AA93:AB106" si="37">((E93-E89)/$B89)*100</f>
        <v>1.3361810379799726</v>
      </c>
      <c r="AB93" s="77">
        <f t="shared" si="37"/>
        <v>0.24287716184822161</v>
      </c>
      <c r="AC93" s="77">
        <f t="shared" ref="AC93:AC106" si="38">((G93-G89)/$B89)*100</f>
        <v>0.55761885836959402</v>
      </c>
      <c r="AD93" s="77">
        <f t="shared" ref="AD93:AE106" si="39">((H93-H89)/$B89)*100</f>
        <v>3.2953663670346427</v>
      </c>
      <c r="AE93" s="80">
        <f t="shared" si="39"/>
        <v>9.1909330688437798</v>
      </c>
    </row>
    <row r="94" spans="1:31" ht="15.75" customHeight="1">
      <c r="A94" s="40" t="s">
        <v>82</v>
      </c>
      <c r="B94" s="193">
        <v>374001.70029886998</v>
      </c>
      <c r="D94" s="175">
        <f>'1.Reel GSYH '!D91</f>
        <v>533317.30000000005</v>
      </c>
      <c r="E94" s="72">
        <f>'1.Reel GSYH '!E91</f>
        <v>23758.7</v>
      </c>
      <c r="F94" s="72">
        <f>'1.Reel GSYH '!F91</f>
        <v>25858.7</v>
      </c>
      <c r="G94" s="72">
        <f>'1.Reel GSYH '!G91</f>
        <v>84546.9</v>
      </c>
      <c r="H94" s="72">
        <f>'1.Reel GSYH '!H91</f>
        <v>108593.7</v>
      </c>
      <c r="I94" s="176">
        <f>'1.Reel GSYH '!I91</f>
        <v>290559.3</v>
      </c>
      <c r="J94" s="83"/>
      <c r="K94" s="173">
        <f t="shared" si="26"/>
        <v>142.59756027146901</v>
      </c>
      <c r="L94" s="77">
        <f t="shared" si="29"/>
        <v>6.3525647025171521</v>
      </c>
      <c r="M94" s="77">
        <f t="shared" si="29"/>
        <v>6.9140594760226897</v>
      </c>
      <c r="N94" s="77">
        <f t="shared" si="30"/>
        <v>22.606020221950164</v>
      </c>
      <c r="O94" s="77">
        <f t="shared" si="31"/>
        <v>29.035616659823006</v>
      </c>
      <c r="P94" s="79">
        <f t="shared" si="31"/>
        <v>77.689299211155998</v>
      </c>
      <c r="R94" s="81">
        <f t="shared" si="32"/>
        <v>11.562947659785273</v>
      </c>
      <c r="S94" s="77">
        <f t="shared" si="33"/>
        <v>32.906138294837305</v>
      </c>
      <c r="T94" s="77">
        <f t="shared" si="33"/>
        <v>4.3611092053063016</v>
      </c>
      <c r="U94" s="77">
        <f t="shared" si="34"/>
        <v>1.6125194098445705</v>
      </c>
      <c r="V94" s="78">
        <f t="shared" si="27"/>
        <v>12.046641346371123</v>
      </c>
      <c r="W94" s="77">
        <f t="shared" si="35"/>
        <v>13.827112903244743</v>
      </c>
      <c r="Y94" s="152">
        <f t="shared" si="28"/>
        <v>9.2280903076658927</v>
      </c>
      <c r="Z94" s="77">
        <f t="shared" si="36"/>
        <v>16.143400274904305</v>
      </c>
      <c r="AA94" s="77">
        <f t="shared" si="37"/>
        <v>1.7179689769120425</v>
      </c>
      <c r="AB94" s="77">
        <f t="shared" si="37"/>
        <v>0.31559181226219851</v>
      </c>
      <c r="AC94" s="77">
        <f t="shared" si="38"/>
        <v>0.39184669120136034</v>
      </c>
      <c r="AD94" s="77">
        <f t="shared" si="39"/>
        <v>3.4098284701888422</v>
      </c>
      <c r="AE94" s="80">
        <f t="shared" si="39"/>
        <v>10.308164324339833</v>
      </c>
    </row>
    <row r="95" spans="1:31" ht="15.75" customHeight="1">
      <c r="A95" s="40" t="s">
        <v>83</v>
      </c>
      <c r="B95" s="193">
        <v>374726.62582498998</v>
      </c>
      <c r="D95" s="175">
        <f>'1.Reel GSYH '!D92</f>
        <v>515814.5</v>
      </c>
      <c r="E95" s="72">
        <f>'1.Reel GSYH '!E92</f>
        <v>26917</v>
      </c>
      <c r="F95" s="72">
        <f>'1.Reel GSYH '!F92</f>
        <v>25418.400000000001</v>
      </c>
      <c r="G95" s="72">
        <f>'1.Reel GSYH '!G92</f>
        <v>73498.600000000006</v>
      </c>
      <c r="H95" s="72">
        <f>'1.Reel GSYH '!H92</f>
        <v>108157.4</v>
      </c>
      <c r="I95" s="176">
        <f>'1.Reel GSYH '!I92</f>
        <v>281823.09999999998</v>
      </c>
      <c r="J95" s="83"/>
      <c r="K95" s="173">
        <f t="shared" si="26"/>
        <v>137.65088052240591</v>
      </c>
      <c r="L95" s="77">
        <f t="shared" si="29"/>
        <v>7.1831031330480233</v>
      </c>
      <c r="M95" s="77">
        <f t="shared" si="29"/>
        <v>6.7831849268888771</v>
      </c>
      <c r="N95" s="77">
        <f t="shared" si="30"/>
        <v>19.613925174969111</v>
      </c>
      <c r="O95" s="77">
        <f t="shared" si="31"/>
        <v>28.863014407338422</v>
      </c>
      <c r="P95" s="79">
        <f t="shared" si="31"/>
        <v>75.207652880161476</v>
      </c>
      <c r="R95" s="81">
        <f t="shared" si="32"/>
        <v>11.08716996483774</v>
      </c>
      <c r="S95" s="77">
        <f t="shared" si="33"/>
        <v>24.449232277184674</v>
      </c>
      <c r="T95" s="77">
        <f t="shared" si="33"/>
        <v>7.1588470634857071</v>
      </c>
      <c r="U95" s="77">
        <f t="shared" si="34"/>
        <v>3.2702880804146517</v>
      </c>
      <c r="V95" s="78">
        <f t="shared" si="27"/>
        <v>7.3576925482083944</v>
      </c>
      <c r="W95" s="77">
        <f t="shared" si="35"/>
        <v>14.067064155238285</v>
      </c>
      <c r="Y95" s="152">
        <f t="shared" si="28"/>
        <v>7.7132791743197648</v>
      </c>
      <c r="Z95" s="77">
        <f t="shared" si="36"/>
        <v>14.798068854265612</v>
      </c>
      <c r="AA95" s="77">
        <f t="shared" si="37"/>
        <v>1.5200376817305263</v>
      </c>
      <c r="AB95" s="77">
        <f t="shared" si="37"/>
        <v>0.48811028296488546</v>
      </c>
      <c r="AC95" s="77">
        <f t="shared" si="38"/>
        <v>0.66902813945042661</v>
      </c>
      <c r="AD95" s="77">
        <f t="shared" si="39"/>
        <v>2.1306857502368581</v>
      </c>
      <c r="AE95" s="80">
        <f t="shared" si="39"/>
        <v>9.9902069998829024</v>
      </c>
    </row>
    <row r="96" spans="1:31" ht="15.75" customHeight="1">
      <c r="A96" s="40" t="s">
        <v>84</v>
      </c>
      <c r="B96" s="193">
        <v>385597.72874480003</v>
      </c>
      <c r="D96" s="175">
        <f>'1.Reel GSYH '!D93</f>
        <v>459462.30000000005</v>
      </c>
      <c r="E96" s="72">
        <f>'1.Reel GSYH '!E93</f>
        <v>21557.200000000001</v>
      </c>
      <c r="F96" s="72">
        <f>'1.Reel GSYH '!F93</f>
        <v>23920.6</v>
      </c>
      <c r="G96" s="72">
        <f>'1.Reel GSYH '!G93</f>
        <v>59393.2</v>
      </c>
      <c r="H96" s="72">
        <f>'1.Reel GSYH '!H93</f>
        <v>100350.7</v>
      </c>
      <c r="I96" s="176">
        <f>'1.Reel GSYH '!I93</f>
        <v>254240.6</v>
      </c>
      <c r="J96" s="83"/>
      <c r="K96" s="173">
        <f t="shared" si="26"/>
        <v>119.15586263841449</v>
      </c>
      <c r="L96" s="77">
        <f t="shared" si="29"/>
        <v>5.5905930956007248</v>
      </c>
      <c r="M96" s="77">
        <f t="shared" si="29"/>
        <v>6.2035116435634814</v>
      </c>
      <c r="N96" s="77">
        <f t="shared" si="30"/>
        <v>15.402891555750884</v>
      </c>
      <c r="O96" s="77">
        <f t="shared" si="31"/>
        <v>26.024712418992245</v>
      </c>
      <c r="P96" s="79">
        <f t="shared" si="31"/>
        <v>65.934153924507157</v>
      </c>
      <c r="R96" s="81">
        <f t="shared" si="32"/>
        <v>6.7180023537953826</v>
      </c>
      <c r="S96" s="77">
        <f t="shared" si="33"/>
        <v>10.084565732494477</v>
      </c>
      <c r="T96" s="77">
        <f t="shared" si="33"/>
        <v>1.711015298789853</v>
      </c>
      <c r="U96" s="77">
        <f t="shared" si="34"/>
        <v>-2.5115185815607566</v>
      </c>
      <c r="V96" s="78">
        <f t="shared" si="27"/>
        <v>4.6169804632930855</v>
      </c>
      <c r="W96" s="77">
        <f t="shared" si="35"/>
        <v>10.255220457880743</v>
      </c>
      <c r="Y96" s="152">
        <f t="shared" si="28"/>
        <v>7.6831303326682088</v>
      </c>
      <c r="Z96" s="77">
        <f t="shared" si="36"/>
        <v>8.0772876920944974</v>
      </c>
      <c r="AA96" s="77">
        <f t="shared" si="37"/>
        <v>0.55148832560083083</v>
      </c>
      <c r="AB96" s="77">
        <f t="shared" si="37"/>
        <v>0.11237538091035709</v>
      </c>
      <c r="AC96" s="77">
        <f t="shared" si="38"/>
        <v>-0.42730012507688614</v>
      </c>
      <c r="AD96" s="77">
        <f t="shared" si="39"/>
        <v>1.2367714946264932</v>
      </c>
      <c r="AE96" s="80">
        <f t="shared" si="39"/>
        <v>6.6039526160336957</v>
      </c>
    </row>
    <row r="97" spans="1:31" ht="15.75" customHeight="1">
      <c r="A97" s="40" t="s">
        <v>85</v>
      </c>
      <c r="B97" s="193">
        <v>379341.76709844999</v>
      </c>
      <c r="D97" s="175">
        <f>'1.Reel GSYH '!D94</f>
        <v>514175.9</v>
      </c>
      <c r="E97" s="72">
        <f>'1.Reel GSYH '!E94</f>
        <v>23830.1</v>
      </c>
      <c r="F97" s="72">
        <f>'1.Reel GSYH '!F94</f>
        <v>25461.7</v>
      </c>
      <c r="G97" s="72">
        <f>'1.Reel GSYH '!G94</f>
        <v>70767.5</v>
      </c>
      <c r="H97" s="72">
        <f>'1.Reel GSYH '!H94</f>
        <v>107476.1</v>
      </c>
      <c r="I97" s="176">
        <f>'1.Reel GSYH '!I94</f>
        <v>286640.5</v>
      </c>
      <c r="J97" s="83"/>
      <c r="K97" s="173">
        <f t="shared" si="26"/>
        <v>135.54423598879814</v>
      </c>
      <c r="L97" s="77">
        <f t="shared" si="29"/>
        <v>6.2819605081386705</v>
      </c>
      <c r="M97" s="77">
        <f t="shared" si="29"/>
        <v>6.7120739682197881</v>
      </c>
      <c r="N97" s="77">
        <f t="shared" si="30"/>
        <v>18.655340945262644</v>
      </c>
      <c r="O97" s="77">
        <f t="shared" si="31"/>
        <v>28.3322611222262</v>
      </c>
      <c r="P97" s="79">
        <f t="shared" si="31"/>
        <v>75.56259944495082</v>
      </c>
      <c r="R97" s="81">
        <f t="shared" si="32"/>
        <v>7.3379646832776313</v>
      </c>
      <c r="S97" s="77">
        <f t="shared" si="33"/>
        <v>1.2525865402183145</v>
      </c>
      <c r="T97" s="77">
        <f t="shared" si="33"/>
        <v>6.3540861719679986</v>
      </c>
      <c r="U97" s="77">
        <f t="shared" si="34"/>
        <v>3.4742672324298063</v>
      </c>
      <c r="V97" s="78">
        <f t="shared" si="27"/>
        <v>2.4213991110704658</v>
      </c>
      <c r="W97" s="77">
        <f t="shared" si="35"/>
        <v>11.00510876653804</v>
      </c>
      <c r="Y97" s="152">
        <f t="shared" si="28"/>
        <v>2.9147264907781301</v>
      </c>
      <c r="Z97" s="77">
        <f t="shared" si="36"/>
        <v>9.5363205167981171</v>
      </c>
      <c r="AA97" s="77">
        <f t="shared" si="37"/>
        <v>7.9978699950557813E-2</v>
      </c>
      <c r="AB97" s="77">
        <f t="shared" si="37"/>
        <v>0.41269877328625815</v>
      </c>
      <c r="AC97" s="77">
        <f t="shared" si="38"/>
        <v>0.64463157717951614</v>
      </c>
      <c r="AD97" s="77">
        <f t="shared" si="39"/>
        <v>0.68934151527942178</v>
      </c>
      <c r="AE97" s="80">
        <f t="shared" si="39"/>
        <v>7.7096699511023523</v>
      </c>
    </row>
    <row r="98" spans="1:31" ht="15.75" customHeight="1">
      <c r="A98" s="40" t="s">
        <v>86</v>
      </c>
      <c r="B98" s="193">
        <v>388666.68732362002</v>
      </c>
      <c r="D98" s="175">
        <f>'1.Reel GSYH '!D95</f>
        <v>571838.30000000005</v>
      </c>
      <c r="E98" s="72">
        <f>'1.Reel GSYH '!E95</f>
        <v>23867.5</v>
      </c>
      <c r="F98" s="72">
        <f>'1.Reel GSYH '!F95</f>
        <v>26912.5</v>
      </c>
      <c r="G98" s="72">
        <f>'1.Reel GSYH '!G95</f>
        <v>84898.3</v>
      </c>
      <c r="H98" s="72">
        <f>'1.Reel GSYH '!H95</f>
        <v>113210.5</v>
      </c>
      <c r="I98" s="176">
        <f>'1.Reel GSYH '!I95</f>
        <v>322949.5</v>
      </c>
      <c r="J98" s="83"/>
      <c r="K98" s="173">
        <f t="shared" si="26"/>
        <v>147.12819972756341</v>
      </c>
      <c r="L98" s="77">
        <f t="shared" si="29"/>
        <v>6.1408658828861578</v>
      </c>
      <c r="M98" s="77">
        <f t="shared" si="29"/>
        <v>6.9243135256383663</v>
      </c>
      <c r="N98" s="77">
        <f t="shared" si="30"/>
        <v>21.84347225243674</v>
      </c>
      <c r="O98" s="77">
        <f t="shared" si="31"/>
        <v>29.127914403874865</v>
      </c>
      <c r="P98" s="79">
        <f t="shared" si="31"/>
        <v>83.091633662727276</v>
      </c>
      <c r="R98" s="81">
        <f t="shared" si="32"/>
        <v>7.222904638570693</v>
      </c>
      <c r="S98" s="77">
        <f t="shared" si="33"/>
        <v>0.45793751341614009</v>
      </c>
      <c r="T98" s="77">
        <f t="shared" si="33"/>
        <v>4.0752241992056737</v>
      </c>
      <c r="U98" s="77">
        <f t="shared" si="34"/>
        <v>0.41562730271602621</v>
      </c>
      <c r="V98" s="78">
        <f t="shared" si="27"/>
        <v>4.2514436841179615</v>
      </c>
      <c r="W98" s="77">
        <f t="shared" si="35"/>
        <v>11.147535115895458</v>
      </c>
      <c r="Y98" s="152">
        <f t="shared" si="28"/>
        <v>3.9211016990112757</v>
      </c>
      <c r="Z98" s="77">
        <f t="shared" si="36"/>
        <v>10.299685795336581</v>
      </c>
      <c r="AA98" s="77">
        <f t="shared" si="37"/>
        <v>2.9090776836858141E-2</v>
      </c>
      <c r="AB98" s="77">
        <f t="shared" si="37"/>
        <v>0.28176342491435014</v>
      </c>
      <c r="AC98" s="77">
        <f t="shared" si="38"/>
        <v>9.3956792099928979E-2</v>
      </c>
      <c r="AD98" s="77">
        <f t="shared" si="39"/>
        <v>1.2344328906287467</v>
      </c>
      <c r="AE98" s="80">
        <f t="shared" si="39"/>
        <v>8.6604419108567026</v>
      </c>
    </row>
    <row r="99" spans="1:31" ht="15.75" customHeight="1">
      <c r="A99" s="40" t="s">
        <v>87</v>
      </c>
      <c r="B99" s="193">
        <v>393904.20175452001</v>
      </c>
      <c r="D99" s="175">
        <f>'1.Reel GSYH '!D96</f>
        <v>560783.1</v>
      </c>
      <c r="E99" s="72">
        <f>'1.Reel GSYH '!E96</f>
        <v>29932.2</v>
      </c>
      <c r="F99" s="72">
        <f>'1.Reel GSYH '!F96</f>
        <v>24572.9</v>
      </c>
      <c r="G99" s="72">
        <f>'1.Reel GSYH '!G96</f>
        <v>77001.2</v>
      </c>
      <c r="H99" s="72">
        <f>'1.Reel GSYH '!H96</f>
        <v>114411.5</v>
      </c>
      <c r="I99" s="176">
        <f>'1.Reel GSYH '!I96</f>
        <v>314865.3</v>
      </c>
      <c r="J99" s="83"/>
      <c r="K99" s="173">
        <f t="shared" si="26"/>
        <v>142.36535114430652</v>
      </c>
      <c r="L99" s="77">
        <f t="shared" si="29"/>
        <v>7.5988526821182942</v>
      </c>
      <c r="M99" s="77">
        <f t="shared" si="29"/>
        <v>6.2382934456012133</v>
      </c>
      <c r="N99" s="77">
        <f t="shared" si="30"/>
        <v>19.548204781016</v>
      </c>
      <c r="O99" s="77">
        <f t="shared" si="31"/>
        <v>29.045513982940683</v>
      </c>
      <c r="P99" s="79">
        <f t="shared" si="31"/>
        <v>79.934486252630322</v>
      </c>
      <c r="R99" s="81">
        <f t="shared" si="32"/>
        <v>8.7179790409148907</v>
      </c>
      <c r="S99" s="77">
        <f t="shared" si="33"/>
        <v>11.201842701638377</v>
      </c>
      <c r="T99" s="77">
        <f t="shared" si="33"/>
        <v>-3.3263305322128844</v>
      </c>
      <c r="U99" s="77">
        <f t="shared" si="34"/>
        <v>4.7655329489268983</v>
      </c>
      <c r="V99" s="78">
        <f t="shared" si="27"/>
        <v>5.7824060119788356</v>
      </c>
      <c r="W99" s="77">
        <f t="shared" si="35"/>
        <v>11.724447002392635</v>
      </c>
      <c r="Y99" s="152">
        <f t="shared" si="28"/>
        <v>5.1177510771510004</v>
      </c>
      <c r="Z99" s="77">
        <f t="shared" si="36"/>
        <v>12.000374913578154</v>
      </c>
      <c r="AA99" s="77">
        <f t="shared" si="37"/>
        <v>0.80463991406049729</v>
      </c>
      <c r="AB99" s="77">
        <f t="shared" si="37"/>
        <v>-0.22563115127956695</v>
      </c>
      <c r="AC99" s="77">
        <f t="shared" si="38"/>
        <v>0.93470806679102225</v>
      </c>
      <c r="AD99" s="77">
        <f t="shared" si="39"/>
        <v>1.6689766803282566</v>
      </c>
      <c r="AE99" s="80">
        <f t="shared" si="39"/>
        <v>8.8176814036779536</v>
      </c>
    </row>
    <row r="100" spans="1:31" ht="15.75" customHeight="1">
      <c r="A100" s="40" t="s">
        <v>88</v>
      </c>
      <c r="B100" s="193">
        <v>401351.94443834998</v>
      </c>
      <c r="D100" s="175">
        <f>'1.Reel GSYH '!D97</f>
        <v>510176.9</v>
      </c>
      <c r="E100" s="72">
        <f>'1.Reel GSYH '!E97</f>
        <v>24361.5</v>
      </c>
      <c r="F100" s="72">
        <f>'1.Reel GSYH '!F97</f>
        <v>25907.599999999999</v>
      </c>
      <c r="G100" s="72">
        <f>'1.Reel GSYH '!G97</f>
        <v>64637.599999999999</v>
      </c>
      <c r="H100" s="72">
        <f>'1.Reel GSYH '!H97</f>
        <v>105020.7</v>
      </c>
      <c r="I100" s="176">
        <f>'1.Reel GSYH '!I97</f>
        <v>290249.5</v>
      </c>
      <c r="J100" s="83"/>
      <c r="K100" s="173">
        <f t="shared" si="26"/>
        <v>127.11459532454469</v>
      </c>
      <c r="L100" s="77">
        <f t="shared" si="29"/>
        <v>6.0698597172841335</v>
      </c>
      <c r="M100" s="77">
        <f t="shared" si="29"/>
        <v>6.4550827170539744</v>
      </c>
      <c r="N100" s="77">
        <f t="shared" si="30"/>
        <v>16.104967447075296</v>
      </c>
      <c r="O100" s="77">
        <f t="shared" si="31"/>
        <v>26.166735070130397</v>
      </c>
      <c r="P100" s="79">
        <f t="shared" si="31"/>
        <v>72.317950373000883</v>
      </c>
      <c r="R100" s="81">
        <f t="shared" si="32"/>
        <v>11.037815289741948</v>
      </c>
      <c r="S100" s="77">
        <f t="shared" si="33"/>
        <v>13.008646763030441</v>
      </c>
      <c r="T100" s="77">
        <f t="shared" si="33"/>
        <v>8.3066478265595443</v>
      </c>
      <c r="U100" s="77">
        <f t="shared" si="34"/>
        <v>8.8299670669369501</v>
      </c>
      <c r="V100" s="78">
        <f t="shared" si="27"/>
        <v>4.6536795458327562</v>
      </c>
      <c r="W100" s="77">
        <f t="shared" si="35"/>
        <v>14.163316165868078</v>
      </c>
      <c r="Y100" s="152">
        <f t="shared" si="28"/>
        <v>4.0856609152842172</v>
      </c>
      <c r="Z100" s="77">
        <f t="shared" si="36"/>
        <v>13.152204024926817</v>
      </c>
      <c r="AA100" s="77">
        <f t="shared" si="37"/>
        <v>0.72726050776506723</v>
      </c>
      <c r="AB100" s="77">
        <f t="shared" si="37"/>
        <v>0.51530386511043358</v>
      </c>
      <c r="AC100" s="77">
        <f t="shared" si="38"/>
        <v>1.3600702517288166</v>
      </c>
      <c r="AD100" s="77">
        <f t="shared" si="39"/>
        <v>1.2111067187044413</v>
      </c>
      <c r="AE100" s="80">
        <f t="shared" si="39"/>
        <v>9.3384626816180614</v>
      </c>
    </row>
    <row r="101" spans="1:31" ht="15.75" customHeight="1">
      <c r="A101" s="40" t="s">
        <v>89</v>
      </c>
      <c r="B101" s="193">
        <v>407467.62263982999</v>
      </c>
      <c r="D101" s="175">
        <f>'1.Reel GSYH '!D98</f>
        <v>560720.69999999995</v>
      </c>
      <c r="E101" s="72">
        <f>'1.Reel GSYH '!E98</f>
        <v>27882.5</v>
      </c>
      <c r="F101" s="72">
        <f>'1.Reel GSYH '!F98</f>
        <v>24602.9</v>
      </c>
      <c r="G101" s="72">
        <f>'1.Reel GSYH '!G98</f>
        <v>74999</v>
      </c>
      <c r="H101" s="72">
        <f>'1.Reel GSYH '!H98</f>
        <v>110382.1</v>
      </c>
      <c r="I101" s="176">
        <f>'1.Reel GSYH '!I98</f>
        <v>322854.2</v>
      </c>
      <c r="J101" s="83"/>
      <c r="K101" s="173">
        <f t="shared" si="26"/>
        <v>137.61110548300763</v>
      </c>
      <c r="L101" s="77">
        <f t="shared" si="29"/>
        <v>6.8428749797001629</v>
      </c>
      <c r="M101" s="77">
        <f t="shared" si="29"/>
        <v>6.0380012135950913</v>
      </c>
      <c r="N101" s="77">
        <f t="shared" si="30"/>
        <v>18.406125010401951</v>
      </c>
      <c r="O101" s="77">
        <f t="shared" si="31"/>
        <v>27.089784283932978</v>
      </c>
      <c r="P101" s="79">
        <f t="shared" si="31"/>
        <v>79.234319995377462</v>
      </c>
      <c r="R101" s="81">
        <f t="shared" si="32"/>
        <v>9.0523106975647583</v>
      </c>
      <c r="S101" s="77">
        <f t="shared" si="33"/>
        <v>17.005383947192843</v>
      </c>
      <c r="T101" s="77">
        <f t="shared" si="33"/>
        <v>-3.3729091144738876</v>
      </c>
      <c r="U101" s="77">
        <f t="shared" si="34"/>
        <v>5.9794397145582323</v>
      </c>
      <c r="V101" s="78">
        <f t="shared" si="27"/>
        <v>2.7038569505220211</v>
      </c>
      <c r="W101" s="77">
        <f t="shared" si="35"/>
        <v>12.633839251606105</v>
      </c>
      <c r="Y101" s="152">
        <f t="shared" si="28"/>
        <v>7.4143840675684247</v>
      </c>
      <c r="Z101" s="77">
        <f t="shared" si="36"/>
        <v>12.269885374346408</v>
      </c>
      <c r="AA101" s="77">
        <f t="shared" si="37"/>
        <v>1.0682715038200075</v>
      </c>
      <c r="AB101" s="77">
        <f t="shared" si="37"/>
        <v>-0.22639215464431475</v>
      </c>
      <c r="AC101" s="77">
        <f t="shared" si="38"/>
        <v>1.1154848653672784</v>
      </c>
      <c r="AD101" s="77">
        <f t="shared" si="39"/>
        <v>0.76606381159336201</v>
      </c>
      <c r="AE101" s="80">
        <f t="shared" si="39"/>
        <v>9.5464573482100974</v>
      </c>
    </row>
    <row r="102" spans="1:31" ht="15.75" customHeight="1">
      <c r="A102" s="40" t="s">
        <v>90</v>
      </c>
      <c r="B102" s="193">
        <v>413178.33795438998</v>
      </c>
      <c r="D102" s="175">
        <f>'1.Reel GSYH '!D99</f>
        <v>619109.69999999995</v>
      </c>
      <c r="E102" s="72">
        <f>'1.Reel GSYH '!E99</f>
        <v>26913.8</v>
      </c>
      <c r="F102" s="72">
        <f>'1.Reel GSYH '!F99</f>
        <v>24477.4</v>
      </c>
      <c r="G102" s="72">
        <f>'1.Reel GSYH '!G99</f>
        <v>90193.4</v>
      </c>
      <c r="H102" s="72">
        <f>'1.Reel GSYH '!H99</f>
        <v>116567.4</v>
      </c>
      <c r="I102" s="176">
        <f>'1.Reel GSYH '!I99</f>
        <v>360957.7</v>
      </c>
      <c r="J102" s="83"/>
      <c r="K102" s="173">
        <f t="shared" si="26"/>
        <v>149.8407934610411</v>
      </c>
      <c r="L102" s="77">
        <f t="shared" si="29"/>
        <v>6.5138458451737531</v>
      </c>
      <c r="M102" s="77">
        <f t="shared" si="29"/>
        <v>5.9241731115879599</v>
      </c>
      <c r="N102" s="77">
        <f t="shared" si="30"/>
        <v>21.829169565505218</v>
      </c>
      <c r="O102" s="77">
        <f t="shared" si="31"/>
        <v>28.212369645784204</v>
      </c>
      <c r="P102" s="79">
        <f t="shared" si="31"/>
        <v>87.361235292989988</v>
      </c>
      <c r="R102" s="81">
        <f t="shared" si="32"/>
        <v>8.2665676643204797</v>
      </c>
      <c r="S102" s="77">
        <f t="shared" si="33"/>
        <v>12.763381166858689</v>
      </c>
      <c r="T102" s="77">
        <f t="shared" si="33"/>
        <v>-9.0482117974918665</v>
      </c>
      <c r="U102" s="77">
        <f t="shared" si="34"/>
        <v>6.2369917889993021</v>
      </c>
      <c r="V102" s="78">
        <f t="shared" si="27"/>
        <v>2.9651843247755272</v>
      </c>
      <c r="W102" s="77">
        <f t="shared" si="35"/>
        <v>11.769084640168192</v>
      </c>
      <c r="Y102" s="152">
        <f t="shared" si="28"/>
        <v>6.3065993125262398</v>
      </c>
      <c r="Z102" s="77">
        <f t="shared" si="36"/>
        <v>12.162452183775601</v>
      </c>
      <c r="AA102" s="77">
        <f t="shared" si="37"/>
        <v>0.78378211957834276</v>
      </c>
      <c r="AB102" s="77">
        <f t="shared" si="37"/>
        <v>-0.62652655332213569</v>
      </c>
      <c r="AC102" s="77">
        <f t="shared" si="38"/>
        <v>1.3623755708168195</v>
      </c>
      <c r="AD102" s="77">
        <f t="shared" si="39"/>
        <v>0.86369635203772943</v>
      </c>
      <c r="AE102" s="80">
        <f t="shared" si="39"/>
        <v>9.7791246946648673</v>
      </c>
    </row>
    <row r="103" spans="1:31" ht="15.75" customHeight="1">
      <c r="A103" s="40" t="s">
        <v>91</v>
      </c>
      <c r="B103" s="193">
        <v>417999.57898361998</v>
      </c>
      <c r="D103" s="175">
        <f>'1.Reel GSYH '!D100</f>
        <v>617438.19999999995</v>
      </c>
      <c r="E103" s="72">
        <f>'1.Reel GSYH '!E100</f>
        <v>30267.5</v>
      </c>
      <c r="F103" s="72">
        <f>'1.Reel GSYH '!F100</f>
        <v>27983.1</v>
      </c>
      <c r="G103" s="72">
        <f>'1.Reel GSYH '!G100</f>
        <v>81408</v>
      </c>
      <c r="H103" s="72">
        <f>'1.Reel GSYH '!H100</f>
        <v>118913.2</v>
      </c>
      <c r="I103" s="176">
        <f>'1.Reel GSYH '!I100</f>
        <v>358866.4</v>
      </c>
      <c r="J103" s="83"/>
      <c r="K103" s="173">
        <f t="shared" si="26"/>
        <v>147.71263681684121</v>
      </c>
      <c r="L103" s="77">
        <f t="shared" si="29"/>
        <v>7.2410360014228816</v>
      </c>
      <c r="M103" s="77">
        <f t="shared" si="29"/>
        <v>6.6945282739379417</v>
      </c>
      <c r="N103" s="77">
        <f t="shared" si="30"/>
        <v>19.475617702282449</v>
      </c>
      <c r="O103" s="77">
        <f t="shared" si="31"/>
        <v>28.448162624742697</v>
      </c>
      <c r="P103" s="79">
        <f t="shared" si="31"/>
        <v>85.853292214455266</v>
      </c>
      <c r="R103" s="81">
        <f t="shared" si="32"/>
        <v>10.102854383450577</v>
      </c>
      <c r="S103" s="77">
        <f t="shared" si="33"/>
        <v>1.120198314858234</v>
      </c>
      <c r="T103" s="77">
        <f t="shared" si="33"/>
        <v>13.877889870548433</v>
      </c>
      <c r="U103" s="77">
        <f t="shared" si="34"/>
        <v>5.7230276930749113</v>
      </c>
      <c r="V103" s="78">
        <f t="shared" si="27"/>
        <v>3.9346569182293623</v>
      </c>
      <c r="W103" s="77">
        <f t="shared" si="35"/>
        <v>13.974578970753537</v>
      </c>
      <c r="Y103" s="152">
        <f t="shared" si="28"/>
        <v>6.1170652970379269</v>
      </c>
      <c r="Z103" s="77">
        <f t="shared" si="36"/>
        <v>14.382964118597364</v>
      </c>
      <c r="AA103" s="77">
        <f t="shared" si="37"/>
        <v>8.5122219693649595E-2</v>
      </c>
      <c r="AB103" s="77">
        <f t="shared" si="37"/>
        <v>0.86574349418217789</v>
      </c>
      <c r="AC103" s="77">
        <f t="shared" si="38"/>
        <v>1.1187491731165407</v>
      </c>
      <c r="AD103" s="77">
        <f t="shared" si="39"/>
        <v>1.1428413253650551</v>
      </c>
      <c r="AE103" s="80">
        <f t="shared" si="39"/>
        <v>11.170507906239953</v>
      </c>
    </row>
    <row r="104" spans="1:31" ht="15.75" customHeight="1">
      <c r="A104" s="40" t="s">
        <v>92</v>
      </c>
      <c r="B104" s="193">
        <v>419510.80629590998</v>
      </c>
      <c r="D104" s="175">
        <f>'1.Reel GSYH '!D101</f>
        <v>542517.6</v>
      </c>
      <c r="E104" s="72">
        <f>'1.Reel GSYH '!E101</f>
        <v>23996.9</v>
      </c>
      <c r="F104" s="72">
        <f>'1.Reel GSYH '!F101</f>
        <v>26561.9</v>
      </c>
      <c r="G104" s="72">
        <f>'1.Reel GSYH '!G101</f>
        <v>66838.899999999994</v>
      </c>
      <c r="H104" s="72">
        <f>'1.Reel GSYH '!H101</f>
        <v>106703.6</v>
      </c>
      <c r="I104" s="176">
        <f>'1.Reel GSYH '!I101</f>
        <v>318416.3</v>
      </c>
      <c r="J104" s="83"/>
      <c r="K104" s="173">
        <f t="shared" si="26"/>
        <v>129.32148394225743</v>
      </c>
      <c r="L104" s="77">
        <f t="shared" si="29"/>
        <v>5.7202102162472857</v>
      </c>
      <c r="M104" s="77">
        <f t="shared" si="29"/>
        <v>6.3316366590242392</v>
      </c>
      <c r="N104" s="77">
        <f t="shared" si="30"/>
        <v>15.932581234356547</v>
      </c>
      <c r="O104" s="77">
        <f t="shared" si="31"/>
        <v>25.435244670368412</v>
      </c>
      <c r="P104" s="79">
        <f t="shared" si="31"/>
        <v>75.901811162260969</v>
      </c>
      <c r="R104" s="81">
        <f t="shared" si="32"/>
        <v>6.3391149226866172</v>
      </c>
      <c r="S104" s="77">
        <f t="shared" si="33"/>
        <v>-1.4966237711142472</v>
      </c>
      <c r="T104" s="77">
        <f t="shared" si="33"/>
        <v>2.5255137488613411</v>
      </c>
      <c r="U104" s="77">
        <f t="shared" si="34"/>
        <v>3.4056029308018765</v>
      </c>
      <c r="V104" s="78">
        <f t="shared" si="27"/>
        <v>1.6024459939802504</v>
      </c>
      <c r="W104" s="77">
        <f t="shared" si="35"/>
        <v>9.7043405759527523</v>
      </c>
      <c r="Y104" s="152">
        <f t="shared" si="28"/>
        <v>4.5244235412815526</v>
      </c>
      <c r="Z104" s="77">
        <f t="shared" si="36"/>
        <v>8.0579402811309091</v>
      </c>
      <c r="AA104" s="77">
        <f t="shared" si="37"/>
        <v>-9.0842963402162677E-2</v>
      </c>
      <c r="AB104" s="77">
        <f t="shared" si="37"/>
        <v>0.16302400151957086</v>
      </c>
      <c r="AC104" s="77">
        <f t="shared" si="38"/>
        <v>0.54847124338228492</v>
      </c>
      <c r="AD104" s="77">
        <f t="shared" si="39"/>
        <v>0.41930779788672778</v>
      </c>
      <c r="AE104" s="80">
        <f t="shared" si="39"/>
        <v>7.0179802017444999</v>
      </c>
    </row>
    <row r="105" spans="1:31" ht="15.75" customHeight="1">
      <c r="A105" s="40" t="s">
        <v>106</v>
      </c>
      <c r="B105" s="193">
        <v>425513.52943175001</v>
      </c>
      <c r="D105" s="175">
        <f>'1.Reel GSYH '!D102</f>
        <v>596496.9</v>
      </c>
      <c r="E105" s="72">
        <f>'1.Reel GSYH '!E102</f>
        <v>26974.2</v>
      </c>
      <c r="F105" s="72">
        <f>'1.Reel GSYH '!F102</f>
        <v>27172.3</v>
      </c>
      <c r="G105" s="72">
        <f>'1.Reel GSYH '!G102</f>
        <v>77792</v>
      </c>
      <c r="H105" s="72">
        <f>'1.Reel GSYH '!H102</f>
        <v>113547.2</v>
      </c>
      <c r="I105" s="176">
        <f>'1.Reel GSYH '!I102</f>
        <v>351011.2</v>
      </c>
      <c r="J105" s="83"/>
      <c r="K105" s="173">
        <f t="shared" si="26"/>
        <v>140.18282821620008</v>
      </c>
      <c r="L105" s="77">
        <f t="shared" si="29"/>
        <v>6.3392108909022387</v>
      </c>
      <c r="M105" s="77">
        <f t="shared" si="29"/>
        <v>6.3857664023720035</v>
      </c>
      <c r="N105" s="77">
        <f t="shared" si="30"/>
        <v>18.281909885189069</v>
      </c>
      <c r="O105" s="77">
        <f t="shared" si="31"/>
        <v>26.68474493669709</v>
      </c>
      <c r="P105" s="79">
        <f t="shared" si="31"/>
        <v>82.491196101039662</v>
      </c>
      <c r="R105" s="81">
        <f t="shared" si="32"/>
        <v>6.3803958013321171</v>
      </c>
      <c r="S105" s="77">
        <f t="shared" si="33"/>
        <v>-3.2575988523267263</v>
      </c>
      <c r="T105" s="77">
        <f t="shared" si="33"/>
        <v>10.443484304695772</v>
      </c>
      <c r="U105" s="77">
        <f t="shared" si="34"/>
        <v>3.724049653995376</v>
      </c>
      <c r="V105" s="78">
        <f t="shared" si="27"/>
        <v>2.8674033199223237</v>
      </c>
      <c r="W105" s="77">
        <f t="shared" si="35"/>
        <v>8.7212741850655853</v>
      </c>
      <c r="Y105" s="152">
        <f t="shared" si="28"/>
        <v>4.4287952684454623</v>
      </c>
      <c r="Z105" s="77">
        <f t="shared" si="36"/>
        <v>8.7801331964045346</v>
      </c>
      <c r="AA105" s="77">
        <f t="shared" si="37"/>
        <v>-0.22291341680486515</v>
      </c>
      <c r="AB105" s="77">
        <f t="shared" si="37"/>
        <v>0.63057770905914401</v>
      </c>
      <c r="AC105" s="77">
        <f t="shared" si="38"/>
        <v>0.68545323476383224</v>
      </c>
      <c r="AD105" s="77">
        <f t="shared" si="39"/>
        <v>0.77677337391729306</v>
      </c>
      <c r="AE105" s="80">
        <f t="shared" si="39"/>
        <v>6.9102422954691098</v>
      </c>
    </row>
    <row r="106" spans="1:31" ht="15.75" customHeight="1" thickBot="1">
      <c r="A106" s="40" t="s">
        <v>127</v>
      </c>
      <c r="B106" s="193">
        <v>413311.19087289</v>
      </c>
      <c r="C106" s="90"/>
      <c r="D106" s="177">
        <f>'1.Reel GSYH '!D103</f>
        <v>633640.30000000005</v>
      </c>
      <c r="E106" s="92">
        <f>'1.Reel GSYH '!E103</f>
        <v>23443</v>
      </c>
      <c r="F106" s="92">
        <f>'1.Reel GSYH '!F103</f>
        <v>25604.2</v>
      </c>
      <c r="G106" s="92">
        <f>'1.Reel GSYH '!G103</f>
        <v>90550.399999999994</v>
      </c>
      <c r="H106" s="92">
        <f>'1.Reel GSYH '!H103</f>
        <v>114067</v>
      </c>
      <c r="I106" s="178">
        <f>'1.Reel GSYH '!I103</f>
        <v>379975.7</v>
      </c>
      <c r="J106" s="92"/>
      <c r="K106" s="173">
        <f t="shared" si="26"/>
        <v>153.30828537736599</v>
      </c>
      <c r="L106" s="93">
        <f t="shared" si="29"/>
        <v>5.6719973999469264</v>
      </c>
      <c r="M106" s="93">
        <f t="shared" si="29"/>
        <v>6.1948963796323469</v>
      </c>
      <c r="N106" s="93">
        <f t="shared" si="30"/>
        <v>21.908528488851861</v>
      </c>
      <c r="O106" s="93">
        <f t="shared" si="31"/>
        <v>27.598333294362753</v>
      </c>
      <c r="P106" s="94">
        <f t="shared" si="31"/>
        <v>91.934529814572088</v>
      </c>
      <c r="Q106" s="90"/>
      <c r="R106" s="96">
        <f t="shared" si="32"/>
        <v>2.3470153996941301</v>
      </c>
      <c r="S106" s="93">
        <f t="shared" si="33"/>
        <v>-12.895986445615259</v>
      </c>
      <c r="T106" s="93">
        <f t="shared" si="33"/>
        <v>4.6034301028704094</v>
      </c>
      <c r="U106" s="93">
        <f t="shared" si="34"/>
        <v>0.39581610184338256</v>
      </c>
      <c r="V106" s="78">
        <f t="shared" si="27"/>
        <v>-2.1450251099363937</v>
      </c>
      <c r="W106" s="93">
        <f t="shared" si="35"/>
        <v>5.268761408885303</v>
      </c>
      <c r="X106" s="90"/>
      <c r="Y106" s="152">
        <f t="shared" si="28"/>
        <v>3.2153892471176171E-2</v>
      </c>
      <c r="Z106" s="93">
        <f t="shared" si="36"/>
        <v>3.5167864975545013</v>
      </c>
      <c r="AA106" s="93">
        <f t="shared" si="37"/>
        <v>-0.84002467728187991</v>
      </c>
      <c r="AB106" s="93">
        <f t="shared" si="37"/>
        <v>0.27271516836499421</v>
      </c>
      <c r="AC106" s="93">
        <f t="shared" si="38"/>
        <v>8.6403368038962536E-2</v>
      </c>
      <c r="AD106" s="93">
        <f t="shared" si="39"/>
        <v>-0.60516241301014406</v>
      </c>
      <c r="AE106" s="95">
        <f t="shared" si="39"/>
        <v>4.6028550514425479</v>
      </c>
    </row>
    <row r="107" spans="1:31" ht="15.75" customHeight="1">
      <c r="B107" s="175"/>
      <c r="C107" s="98"/>
      <c r="D107" s="143"/>
      <c r="E107" s="143"/>
      <c r="F107" s="143"/>
      <c r="G107" s="143"/>
      <c r="H107" s="143"/>
      <c r="I107" s="143"/>
      <c r="J107" s="143"/>
      <c r="K107" s="115"/>
      <c r="L107" s="144"/>
      <c r="M107" s="144"/>
      <c r="N107" s="144"/>
      <c r="O107" s="144"/>
      <c r="P107" s="144"/>
      <c r="Q107" s="179"/>
      <c r="R107" s="163"/>
      <c r="S107" s="144"/>
      <c r="T107" s="144"/>
      <c r="U107" s="144"/>
      <c r="V107" s="164"/>
      <c r="W107" s="163"/>
      <c r="X107" s="179"/>
      <c r="Y107" s="164"/>
      <c r="Z107" s="77"/>
      <c r="AA107" s="77"/>
      <c r="AB107" s="77"/>
      <c r="AC107" s="77"/>
      <c r="AD107" s="77"/>
      <c r="AE107" s="77"/>
    </row>
    <row r="108" spans="1:31">
      <c r="D108" s="89"/>
      <c r="E108" s="89"/>
      <c r="F108" s="89"/>
      <c r="G108" s="179"/>
      <c r="H108" s="179"/>
      <c r="I108" s="89"/>
      <c r="J108" s="89"/>
      <c r="K108" s="17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</row>
    <row r="109" spans="1:31" ht="14.4" customHeight="1">
      <c r="A109" s="40" t="s">
        <v>249</v>
      </c>
      <c r="B109" s="74">
        <f>AVERAGE(B12:B31)</f>
        <v>0</v>
      </c>
      <c r="C109" s="74"/>
      <c r="D109" s="74">
        <f t="shared" ref="D109:I109" si="40">AVERAGE(D12:D31)</f>
        <v>0</v>
      </c>
      <c r="E109" s="74">
        <f t="shared" si="40"/>
        <v>0</v>
      </c>
      <c r="F109" s="74">
        <f t="shared" si="40"/>
        <v>0</v>
      </c>
      <c r="G109" s="74">
        <f t="shared" si="40"/>
        <v>0</v>
      </c>
      <c r="H109" s="74">
        <f t="shared" si="40"/>
        <v>0</v>
      </c>
      <c r="I109" s="74">
        <f t="shared" si="40"/>
        <v>0</v>
      </c>
      <c r="J109" s="74"/>
      <c r="K109" s="74" t="e">
        <f t="shared" ref="K109:P109" si="41">AVERAGE(K12:K31)</f>
        <v>#DIV/0!</v>
      </c>
      <c r="L109" s="74" t="e">
        <f t="shared" si="41"/>
        <v>#DIV/0!</v>
      </c>
      <c r="M109" s="74" t="e">
        <f t="shared" si="41"/>
        <v>#DIV/0!</v>
      </c>
      <c r="N109" s="74" t="e">
        <f t="shared" si="41"/>
        <v>#DIV/0!</v>
      </c>
      <c r="O109" s="74" t="e">
        <f t="shared" si="41"/>
        <v>#DIV/0!</v>
      </c>
      <c r="P109" s="74" t="e">
        <f t="shared" si="41"/>
        <v>#DIV/0!</v>
      </c>
      <c r="Q109" s="74"/>
      <c r="R109" s="74" t="e">
        <f t="shared" ref="R109:W109" si="42">AVERAGE(R12:R31)</f>
        <v>#DIV/0!</v>
      </c>
      <c r="S109" s="74" t="e">
        <f t="shared" si="42"/>
        <v>#DIV/0!</v>
      </c>
      <c r="T109" s="74" t="e">
        <f t="shared" si="42"/>
        <v>#DIV/0!</v>
      </c>
      <c r="U109" s="74" t="e">
        <f t="shared" si="42"/>
        <v>#DIV/0!</v>
      </c>
      <c r="V109" s="74" t="e">
        <f t="shared" si="42"/>
        <v>#DIV/0!</v>
      </c>
      <c r="W109" s="74" t="e">
        <f t="shared" si="42"/>
        <v>#DIV/0!</v>
      </c>
      <c r="X109" s="74"/>
      <c r="Y109" s="74" t="e">
        <f t="shared" ref="Y109:AE109" si="43">AVERAGE(Y12:Y31)</f>
        <v>#DIV/0!</v>
      </c>
      <c r="Z109" s="74" t="e">
        <f t="shared" si="43"/>
        <v>#DIV/0!</v>
      </c>
      <c r="AA109" s="74" t="e">
        <f t="shared" si="43"/>
        <v>#DIV/0!</v>
      </c>
      <c r="AB109" s="74" t="e">
        <f t="shared" si="43"/>
        <v>#DIV/0!</v>
      </c>
      <c r="AC109" s="74" t="e">
        <f t="shared" si="43"/>
        <v>#DIV/0!</v>
      </c>
      <c r="AD109" s="74" t="e">
        <f t="shared" si="43"/>
        <v>#DIV/0!</v>
      </c>
      <c r="AE109" s="74" t="e">
        <f t="shared" si="43"/>
        <v>#DIV/0!</v>
      </c>
    </row>
    <row r="110" spans="1:31">
      <c r="A110" s="40" t="s">
        <v>250</v>
      </c>
      <c r="B110" s="74">
        <f>AVERAGE(B32:B51)</f>
        <v>190436.357458902</v>
      </c>
      <c r="C110" s="74"/>
      <c r="D110" s="74">
        <f t="shared" ref="D110:I110" si="44">AVERAGE(D32:D51)</f>
        <v>0</v>
      </c>
      <c r="E110" s="74">
        <f t="shared" si="44"/>
        <v>0</v>
      </c>
      <c r="F110" s="74">
        <f t="shared" si="44"/>
        <v>0</v>
      </c>
      <c r="G110" s="74">
        <f t="shared" si="44"/>
        <v>0</v>
      </c>
      <c r="H110" s="74">
        <f t="shared" si="44"/>
        <v>0</v>
      </c>
      <c r="I110" s="74">
        <f t="shared" si="44"/>
        <v>0</v>
      </c>
      <c r="J110" s="74"/>
      <c r="K110" s="74">
        <f t="shared" ref="K110:P110" si="45">AVERAGE(K32:K51)</f>
        <v>0</v>
      </c>
      <c r="L110" s="74">
        <f t="shared" si="45"/>
        <v>0</v>
      </c>
      <c r="M110" s="74">
        <f t="shared" si="45"/>
        <v>0</v>
      </c>
      <c r="N110" s="74">
        <f t="shared" si="45"/>
        <v>0</v>
      </c>
      <c r="O110" s="74">
        <f t="shared" si="45"/>
        <v>0</v>
      </c>
      <c r="P110" s="74">
        <f t="shared" si="45"/>
        <v>0</v>
      </c>
      <c r="Q110" s="74"/>
      <c r="R110" s="74" t="e">
        <f t="shared" ref="R110:W110" si="46">AVERAGE(R32:R51)</f>
        <v>#DIV/0!</v>
      </c>
      <c r="S110" s="74" t="e">
        <f t="shared" si="46"/>
        <v>#DIV/0!</v>
      </c>
      <c r="T110" s="74" t="e">
        <f t="shared" si="46"/>
        <v>#DIV/0!</v>
      </c>
      <c r="U110" s="74" t="e">
        <f t="shared" si="46"/>
        <v>#DIV/0!</v>
      </c>
      <c r="V110" s="74" t="e">
        <f t="shared" si="46"/>
        <v>#DIV/0!</v>
      </c>
      <c r="W110" s="74" t="e">
        <f t="shared" si="46"/>
        <v>#DIV/0!</v>
      </c>
      <c r="X110" s="74"/>
      <c r="Y110" s="74" t="e">
        <f t="shared" ref="Y110:AE110" si="47">AVERAGE(Y32:Y51)</f>
        <v>#DIV/0!</v>
      </c>
      <c r="Z110" s="74" t="e">
        <f t="shared" si="47"/>
        <v>#DIV/0!</v>
      </c>
      <c r="AA110" s="74" t="e">
        <f t="shared" si="47"/>
        <v>#DIV/0!</v>
      </c>
      <c r="AB110" s="74" t="e">
        <f t="shared" si="47"/>
        <v>#DIV/0!</v>
      </c>
      <c r="AC110" s="74" t="e">
        <f t="shared" si="47"/>
        <v>#DIV/0!</v>
      </c>
      <c r="AD110" s="74" t="e">
        <f t="shared" si="47"/>
        <v>#DIV/0!</v>
      </c>
      <c r="AE110" s="74" t="e">
        <f t="shared" si="47"/>
        <v>#DIV/0!</v>
      </c>
    </row>
    <row r="111" spans="1:31">
      <c r="A111" s="40" t="s">
        <v>251</v>
      </c>
      <c r="B111" s="74">
        <f>AVERAGE(B52:B71)</f>
        <v>246801.31786182351</v>
      </c>
      <c r="C111" s="74"/>
      <c r="D111" s="74">
        <f t="shared" ref="D111:I111" si="48">AVERAGE(D52:D71)</f>
        <v>0</v>
      </c>
      <c r="E111" s="74">
        <f t="shared" si="48"/>
        <v>0</v>
      </c>
      <c r="F111" s="74">
        <f t="shared" si="48"/>
        <v>0</v>
      </c>
      <c r="G111" s="74">
        <f t="shared" si="48"/>
        <v>0</v>
      </c>
      <c r="H111" s="74">
        <f t="shared" si="48"/>
        <v>0</v>
      </c>
      <c r="I111" s="74">
        <f t="shared" si="48"/>
        <v>0</v>
      </c>
      <c r="J111" s="74"/>
      <c r="K111" s="74">
        <f t="shared" ref="K111:P111" si="49">AVERAGE(K52:K71)</f>
        <v>0</v>
      </c>
      <c r="L111" s="74">
        <f t="shared" si="49"/>
        <v>0</v>
      </c>
      <c r="M111" s="74">
        <f t="shared" si="49"/>
        <v>0</v>
      </c>
      <c r="N111" s="74">
        <f t="shared" si="49"/>
        <v>0</v>
      </c>
      <c r="O111" s="74">
        <f t="shared" si="49"/>
        <v>0</v>
      </c>
      <c r="P111" s="74">
        <f t="shared" si="49"/>
        <v>0</v>
      </c>
      <c r="Q111" s="74"/>
      <c r="R111" s="74" t="e">
        <f t="shared" ref="R111:W111" si="50">AVERAGE(R52:R71)</f>
        <v>#DIV/0!</v>
      </c>
      <c r="S111" s="74" t="e">
        <f t="shared" si="50"/>
        <v>#DIV/0!</v>
      </c>
      <c r="T111" s="74" t="e">
        <f t="shared" si="50"/>
        <v>#DIV/0!</v>
      </c>
      <c r="U111" s="74" t="e">
        <f t="shared" si="50"/>
        <v>#DIV/0!</v>
      </c>
      <c r="V111" s="74" t="e">
        <f t="shared" si="50"/>
        <v>#DIV/0!</v>
      </c>
      <c r="W111" s="74" t="e">
        <f t="shared" si="50"/>
        <v>#DIV/0!</v>
      </c>
      <c r="X111" s="74"/>
      <c r="Y111" s="74">
        <f t="shared" ref="Y111:AE111" si="51">AVERAGE(Y52:Y71)</f>
        <v>7.3666633096124325</v>
      </c>
      <c r="Z111" s="74">
        <f t="shared" si="51"/>
        <v>0</v>
      </c>
      <c r="AA111" s="74">
        <f t="shared" si="51"/>
        <v>0</v>
      </c>
      <c r="AB111" s="74">
        <f t="shared" si="51"/>
        <v>0</v>
      </c>
      <c r="AC111" s="74">
        <f t="shared" si="51"/>
        <v>0</v>
      </c>
      <c r="AD111" s="74">
        <f t="shared" si="51"/>
        <v>0</v>
      </c>
      <c r="AE111" s="74">
        <f t="shared" si="51"/>
        <v>0</v>
      </c>
    </row>
    <row r="112" spans="1:31">
      <c r="A112" s="40" t="s">
        <v>252</v>
      </c>
      <c r="B112" s="74">
        <f>AVERAGE(B72:B91)</f>
        <v>301314.15925315849</v>
      </c>
      <c r="C112" s="74"/>
      <c r="D112" s="74">
        <f t="shared" ref="D112:I112" si="52">AVERAGE(D72:D91)</f>
        <v>302782.92499999993</v>
      </c>
      <c r="E112" s="74">
        <f t="shared" si="52"/>
        <v>12860.664999999997</v>
      </c>
      <c r="F112" s="74">
        <f t="shared" si="52"/>
        <v>16643.329999999994</v>
      </c>
      <c r="G112" s="74">
        <f t="shared" si="52"/>
        <v>51475.514999999999</v>
      </c>
      <c r="H112" s="74">
        <f t="shared" si="52"/>
        <v>68564.62</v>
      </c>
      <c r="I112" s="74">
        <f t="shared" si="52"/>
        <v>153238.79499999998</v>
      </c>
      <c r="J112" s="74"/>
      <c r="K112" s="74">
        <f t="shared" ref="K112:P112" si="53">AVERAGE(K72:K91)</f>
        <v>98.416751790549284</v>
      </c>
      <c r="L112" s="74">
        <f t="shared" si="53"/>
        <v>4.1683166621784498</v>
      </c>
      <c r="M112" s="74">
        <f t="shared" si="53"/>
        <v>5.4042708309738119</v>
      </c>
      <c r="N112" s="74">
        <f t="shared" si="53"/>
        <v>16.795144288209276</v>
      </c>
      <c r="O112" s="74">
        <f t="shared" si="53"/>
        <v>22.409987193091617</v>
      </c>
      <c r="P112" s="74">
        <f t="shared" si="53"/>
        <v>49.639032816096112</v>
      </c>
      <c r="Q112" s="74"/>
      <c r="R112" s="74" t="e">
        <f t="shared" ref="R112:W112" si="54">AVERAGE(R72:R91)</f>
        <v>#DIV/0!</v>
      </c>
      <c r="S112" s="74" t="e">
        <f t="shared" si="54"/>
        <v>#DIV/0!</v>
      </c>
      <c r="T112" s="74" t="e">
        <f t="shared" si="54"/>
        <v>#DIV/0!</v>
      </c>
      <c r="U112" s="74" t="e">
        <f t="shared" si="54"/>
        <v>#DIV/0!</v>
      </c>
      <c r="V112" s="74" t="e">
        <f t="shared" si="54"/>
        <v>#DIV/0!</v>
      </c>
      <c r="W112" s="74" t="e">
        <f t="shared" si="54"/>
        <v>#DIV/0!</v>
      </c>
      <c r="X112" s="74"/>
      <c r="Y112" s="74">
        <f t="shared" ref="Y112:AE112" si="55">AVERAGE(Y72:Y91)</f>
        <v>4.0875893751293191</v>
      </c>
      <c r="Z112" s="74">
        <f t="shared" si="55"/>
        <v>31.010287526774782</v>
      </c>
      <c r="AA112" s="74">
        <f t="shared" si="55"/>
        <v>1.3155767314261555</v>
      </c>
      <c r="AB112" s="74">
        <f t="shared" si="55"/>
        <v>1.7014421738422356</v>
      </c>
      <c r="AC112" s="74">
        <f t="shared" si="55"/>
        <v>4.988729282981188</v>
      </c>
      <c r="AD112" s="74">
        <f t="shared" si="55"/>
        <v>6.6455116494914419</v>
      </c>
      <c r="AE112" s="74">
        <f t="shared" si="55"/>
        <v>16.359027689033773</v>
      </c>
    </row>
    <row r="113" spans="1:31">
      <c r="A113" s="40" t="s">
        <v>253</v>
      </c>
      <c r="B113" s="74">
        <f>AVERAGE(B92:B106)</f>
        <v>394750.36069565336</v>
      </c>
      <c r="C113" s="74"/>
      <c r="D113" s="74">
        <f t="shared" ref="D113:I113" si="56">AVERAGE(D92:D106)</f>
        <v>543003.70666666667</v>
      </c>
      <c r="E113" s="74">
        <f t="shared" si="56"/>
        <v>25121.320000000003</v>
      </c>
      <c r="F113" s="74">
        <f t="shared" si="56"/>
        <v>25460.86</v>
      </c>
      <c r="G113" s="74">
        <f t="shared" si="56"/>
        <v>75055.98</v>
      </c>
      <c r="H113" s="74">
        <f t="shared" si="56"/>
        <v>109217.22</v>
      </c>
      <c r="I113" s="74">
        <f t="shared" si="56"/>
        <v>308148.32666666672</v>
      </c>
      <c r="J113" s="74"/>
      <c r="K113" s="74">
        <f t="shared" ref="K113:P113" si="57">AVERAGE(K92:K106)</f>
        <v>137.31506355407654</v>
      </c>
      <c r="L113" s="74">
        <f t="shared" si="57"/>
        <v>6.3600464102766336</v>
      </c>
      <c r="M113" s="74">
        <f t="shared" si="57"/>
        <v>6.4574863789022796</v>
      </c>
      <c r="N113" s="74">
        <f t="shared" si="57"/>
        <v>19.011788780777554</v>
      </c>
      <c r="O113" s="74">
        <f t="shared" si="57"/>
        <v>27.688039236449711</v>
      </c>
      <c r="P113" s="74">
        <f t="shared" si="57"/>
        <v>77.797702747670385</v>
      </c>
      <c r="Q113" s="74"/>
      <c r="R113" s="74">
        <f t="shared" ref="R113:W113" si="58">AVERAGE(R92:R106)</f>
        <v>8.4994406121157233</v>
      </c>
      <c r="S113" s="74">
        <f t="shared" si="58"/>
        <v>10.384659939490454</v>
      </c>
      <c r="T113" s="74">
        <f t="shared" si="58"/>
        <v>3.2072691683422154</v>
      </c>
      <c r="U113" s="74">
        <f t="shared" si="58"/>
        <v>3.1950203595516369</v>
      </c>
      <c r="V113" s="74">
        <f t="shared" si="58"/>
        <v>5.1298574340159915</v>
      </c>
      <c r="W113" s="74">
        <f t="shared" si="58"/>
        <v>11.610754378721248</v>
      </c>
      <c r="X113" s="74"/>
      <c r="Y113" s="74">
        <f t="shared" ref="Y113:AE113" si="59">AVERAGE(Y92:Y106)</f>
        <v>5.8200541798363794</v>
      </c>
      <c r="Z113" s="74">
        <f t="shared" si="59"/>
        <v>11.299724683748028</v>
      </c>
      <c r="AA113" s="74">
        <f t="shared" si="59"/>
        <v>0.58367808488913453</v>
      </c>
      <c r="AB113" s="74">
        <f t="shared" si="59"/>
        <v>0.19967620095161501</v>
      </c>
      <c r="AC113" s="74">
        <f t="shared" si="59"/>
        <v>0.60676250310926316</v>
      </c>
      <c r="AD113" s="74">
        <f t="shared" si="59"/>
        <v>1.4242987192141883</v>
      </c>
      <c r="AE113" s="74">
        <f t="shared" si="59"/>
        <v>8.4853091755838292</v>
      </c>
    </row>
  </sheetData>
  <mergeCells count="5">
    <mergeCell ref="R10:V10"/>
    <mergeCell ref="K10:O10"/>
    <mergeCell ref="D10:H10"/>
    <mergeCell ref="B3:G3"/>
    <mergeCell ref="Y10:AD1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theme="5" tint="0.59999389629810485"/>
  </sheetPr>
  <dimension ref="A1:AZ108"/>
  <sheetViews>
    <sheetView zoomScale="75" zoomScaleNormal="75" workbookViewId="0">
      <pane ySplit="4" topLeftCell="A5" activePane="bottomLeft" state="frozen"/>
      <selection activeCell="J25" sqref="J25"/>
      <selection pane="bottomLeft" activeCell="AH43" sqref="AH43"/>
    </sheetView>
  </sheetViews>
  <sheetFormatPr defaultColWidth="9.109375" defaultRowHeight="14.4"/>
  <cols>
    <col min="1" max="16384" width="9.109375" style="1"/>
  </cols>
  <sheetData>
    <row r="1" spans="1:52" s="3" customFormat="1" ht="30.3" customHeight="1">
      <c r="A1" s="28"/>
      <c r="B1" s="29" t="s">
        <v>157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28"/>
      <c r="R1" s="30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</row>
    <row r="2" spans="1:52" s="3" customFormat="1" ht="25.2" customHeight="1" thickBot="1">
      <c r="A2" s="31"/>
      <c r="B2" s="32" t="s">
        <v>158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1"/>
      <c r="R2" s="33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</row>
    <row r="3" spans="1:52" s="4" customFormat="1" ht="23.25" customHeight="1">
      <c r="A3" s="34"/>
      <c r="B3" s="216" t="s">
        <v>245</v>
      </c>
      <c r="C3" s="216"/>
      <c r="D3" s="216"/>
      <c r="E3" s="216"/>
      <c r="F3" s="216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</row>
    <row r="4" spans="1:52" ht="18">
      <c r="A4" s="7"/>
      <c r="B4" s="6"/>
      <c r="C4" s="5"/>
      <c r="D4" s="5"/>
      <c r="E4" s="5"/>
      <c r="F4" s="5"/>
      <c r="G4" s="5"/>
      <c r="H4" s="5"/>
      <c r="I4" s="4"/>
      <c r="J4" s="4"/>
    </row>
    <row r="5" spans="1:52" s="4" customFormat="1" ht="18">
      <c r="A5" s="7"/>
      <c r="B5" s="6"/>
      <c r="C5" s="5"/>
      <c r="D5" s="5"/>
      <c r="E5" s="5"/>
      <c r="F5" s="5"/>
      <c r="G5" s="5"/>
      <c r="H5" s="5"/>
    </row>
    <row r="6" spans="1:52" s="4" customFormat="1" ht="18">
      <c r="A6" s="7"/>
      <c r="B6" s="6"/>
      <c r="C6" s="5"/>
      <c r="D6" s="5"/>
      <c r="E6" s="5"/>
      <c r="F6" s="5"/>
      <c r="G6" s="5"/>
      <c r="H6" s="5"/>
    </row>
    <row r="7" spans="1:52" s="4" customFormat="1" ht="18">
      <c r="A7" s="7"/>
      <c r="B7" s="6"/>
      <c r="C7" s="5"/>
      <c r="D7" s="5"/>
      <c r="E7" s="5"/>
      <c r="F7" s="5"/>
      <c r="G7" s="5"/>
      <c r="H7" s="5"/>
    </row>
    <row r="8" spans="1:52" s="4" customFormat="1" ht="18">
      <c r="A8" s="7"/>
      <c r="B8" s="6"/>
      <c r="C8" s="5"/>
      <c r="D8" s="5"/>
      <c r="E8" s="5"/>
      <c r="F8" s="5"/>
      <c r="G8" s="5"/>
      <c r="H8" s="5"/>
    </row>
    <row r="9" spans="1:52" s="4" customFormat="1" ht="18">
      <c r="A9" s="7"/>
      <c r="B9" s="6"/>
      <c r="C9" s="5"/>
      <c r="D9" s="5"/>
      <c r="E9" s="5"/>
      <c r="F9" s="5"/>
      <c r="G9" s="5"/>
      <c r="H9" s="5"/>
    </row>
    <row r="10" spans="1:52" s="4" customFormat="1" ht="18">
      <c r="A10" s="7"/>
      <c r="B10" s="6"/>
      <c r="C10" s="5"/>
      <c r="D10" s="5"/>
      <c r="E10" s="5"/>
      <c r="F10" s="5"/>
      <c r="G10" s="5"/>
      <c r="H10" s="5"/>
    </row>
    <row r="11" spans="1:52" s="4" customFormat="1" ht="18">
      <c r="A11" s="7"/>
      <c r="B11" s="6"/>
      <c r="C11" s="5"/>
      <c r="D11" s="5"/>
      <c r="E11" s="5"/>
      <c r="F11" s="5"/>
      <c r="G11" s="5"/>
      <c r="H11" s="5"/>
    </row>
    <row r="12" spans="1:52" s="4" customFormat="1" ht="18">
      <c r="A12" s="7"/>
      <c r="B12" s="6"/>
      <c r="C12" s="5"/>
      <c r="D12" s="5"/>
      <c r="E12" s="5"/>
      <c r="F12" s="5"/>
      <c r="G12" s="5"/>
      <c r="H12" s="5"/>
    </row>
    <row r="13" spans="1:52" s="4" customFormat="1" ht="18">
      <c r="A13" s="7"/>
      <c r="B13" s="6"/>
      <c r="C13" s="5"/>
      <c r="D13" s="5"/>
      <c r="E13" s="5"/>
      <c r="F13" s="5"/>
      <c r="G13" s="5"/>
      <c r="H13" s="5"/>
    </row>
    <row r="14" spans="1:52" s="4" customFormat="1" ht="18">
      <c r="A14" s="7"/>
      <c r="B14" s="6"/>
      <c r="C14" s="5"/>
      <c r="D14" s="5"/>
      <c r="E14" s="5"/>
      <c r="F14" s="5"/>
      <c r="G14" s="5"/>
      <c r="H14" s="5"/>
    </row>
    <row r="15" spans="1:52" s="4" customFormat="1" ht="18">
      <c r="A15" s="7"/>
      <c r="B15" s="6"/>
      <c r="C15" s="5"/>
      <c r="D15" s="5"/>
      <c r="E15" s="5"/>
      <c r="F15" s="5"/>
      <c r="G15" s="5"/>
      <c r="H15" s="5"/>
    </row>
    <row r="16" spans="1:52" s="4" customFormat="1" ht="18">
      <c r="A16" s="7"/>
      <c r="B16" s="6"/>
      <c r="C16" s="5"/>
      <c r="D16" s="5"/>
      <c r="E16" s="5"/>
      <c r="F16" s="5"/>
      <c r="G16" s="5"/>
      <c r="H16" s="5"/>
    </row>
    <row r="17" spans="1:32" s="4" customFormat="1" ht="18">
      <c r="A17" s="7"/>
      <c r="B17" s="6"/>
      <c r="C17" s="5"/>
      <c r="D17" s="5"/>
      <c r="E17" s="5"/>
      <c r="F17" s="5"/>
      <c r="G17" s="5"/>
      <c r="H17" s="5"/>
    </row>
    <row r="18" spans="1:32" s="4" customFormat="1" ht="18">
      <c r="A18" s="7"/>
      <c r="B18" s="6"/>
      <c r="C18" s="5"/>
      <c r="D18" s="5"/>
      <c r="E18" s="5"/>
      <c r="F18" s="5"/>
      <c r="G18" s="5"/>
      <c r="H18" s="5"/>
    </row>
    <row r="19" spans="1:32" s="4" customFormat="1" ht="18">
      <c r="A19" s="7"/>
      <c r="B19" s="6"/>
      <c r="C19" s="5"/>
      <c r="D19" s="5"/>
      <c r="E19" s="5"/>
      <c r="F19" s="5"/>
      <c r="G19" s="5"/>
      <c r="H19" s="5"/>
    </row>
    <row r="20" spans="1:32" s="4" customFormat="1" ht="18">
      <c r="A20" s="7"/>
      <c r="B20" s="6"/>
      <c r="C20" s="5"/>
      <c r="D20" s="5"/>
      <c r="E20" s="5"/>
      <c r="F20" s="5"/>
      <c r="G20" s="5"/>
      <c r="H20" s="5"/>
    </row>
    <row r="21" spans="1:32" s="4" customFormat="1" ht="18">
      <c r="A21" s="7"/>
      <c r="B21" s="6"/>
      <c r="C21" s="5"/>
      <c r="D21" s="5"/>
      <c r="E21" s="5"/>
      <c r="F21" s="5"/>
      <c r="G21" s="5"/>
      <c r="H21" s="5"/>
    </row>
    <row r="22" spans="1:32" s="4" customFormat="1" ht="18">
      <c r="A22" s="7"/>
      <c r="B22" s="6"/>
      <c r="C22" s="5"/>
      <c r="D22" s="5"/>
      <c r="E22" s="5"/>
      <c r="F22" s="5"/>
      <c r="G22" s="5"/>
      <c r="H22" s="5"/>
    </row>
    <row r="23" spans="1:32" s="4" customFormat="1" ht="18">
      <c r="A23" s="7"/>
      <c r="B23" s="6"/>
      <c r="C23" s="5"/>
      <c r="D23" s="5"/>
      <c r="E23" s="5"/>
      <c r="F23" s="5"/>
      <c r="G23" s="5"/>
      <c r="H23" s="5"/>
    </row>
    <row r="24" spans="1:32" s="4" customFormat="1" ht="18">
      <c r="A24" s="7"/>
      <c r="B24" s="6"/>
      <c r="C24" s="5"/>
      <c r="D24" s="5"/>
      <c r="E24" s="5"/>
      <c r="F24" s="5"/>
      <c r="G24" s="5"/>
      <c r="H24" s="5"/>
    </row>
    <row r="25" spans="1:32" s="4" customFormat="1" ht="18">
      <c r="A25" s="7"/>
      <c r="B25" s="6"/>
      <c r="C25" s="5"/>
      <c r="D25" s="5"/>
      <c r="E25" s="5"/>
      <c r="F25" s="5"/>
      <c r="G25" s="5"/>
      <c r="H25" s="5"/>
    </row>
    <row r="26" spans="1:32" s="4" customFormat="1" ht="18">
      <c r="A26" s="7"/>
      <c r="B26" s="6"/>
      <c r="C26" s="5"/>
      <c r="D26" s="5"/>
      <c r="E26" s="5"/>
      <c r="F26" s="5"/>
      <c r="G26" s="5"/>
      <c r="H26" s="5"/>
    </row>
    <row r="27" spans="1:32" s="4" customFormat="1" ht="18">
      <c r="A27" s="7"/>
      <c r="B27" s="6"/>
      <c r="C27" s="5"/>
      <c r="D27" s="5"/>
      <c r="E27" s="5"/>
      <c r="F27" s="5"/>
      <c r="G27" s="5"/>
      <c r="H27" s="5"/>
    </row>
    <row r="28" spans="1:32" s="4" customFormat="1" ht="18">
      <c r="A28" s="7"/>
      <c r="B28" s="6"/>
      <c r="C28" s="5"/>
      <c r="D28" s="5"/>
      <c r="E28" s="5"/>
      <c r="F28" s="5"/>
      <c r="G28" s="5"/>
      <c r="H28" s="5"/>
    </row>
    <row r="29" spans="1:32" s="4" customFormat="1" ht="18">
      <c r="A29" s="7"/>
      <c r="B29" s="6"/>
      <c r="C29" s="5"/>
      <c r="D29" s="5"/>
      <c r="E29" s="5"/>
      <c r="F29" s="5"/>
      <c r="G29" s="5"/>
      <c r="H29" s="5"/>
    </row>
    <row r="30" spans="1:32" s="4" customFormat="1" ht="18">
      <c r="A30" s="7"/>
      <c r="B30" s="6"/>
      <c r="C30" s="5"/>
      <c r="D30" s="5"/>
      <c r="E30" s="5"/>
      <c r="F30" s="5"/>
      <c r="G30" s="5"/>
      <c r="H30" s="5"/>
    </row>
    <row r="31" spans="1:32">
      <c r="A31" s="4"/>
      <c r="B31" s="2"/>
      <c r="C31" s="4"/>
      <c r="D31" s="4"/>
      <c r="E31" s="4"/>
      <c r="F31" s="4"/>
      <c r="G31" s="4"/>
      <c r="H31" s="4"/>
      <c r="I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>
      <c r="B32" s="2"/>
    </row>
    <row r="33" spans="2:4">
      <c r="B33" s="2"/>
    </row>
    <row r="34" spans="2:4">
      <c r="C34" s="2"/>
    </row>
    <row r="35" spans="2:4">
      <c r="C35" s="2"/>
    </row>
    <row r="36" spans="2:4">
      <c r="C36" s="2"/>
    </row>
    <row r="37" spans="2:4">
      <c r="C37" s="2"/>
    </row>
    <row r="38" spans="2:4">
      <c r="C38" s="2"/>
    </row>
    <row r="39" spans="2:4">
      <c r="C39" s="2"/>
    </row>
    <row r="40" spans="2:4">
      <c r="C40" s="2"/>
    </row>
    <row r="41" spans="2:4">
      <c r="C41" s="2"/>
    </row>
    <row r="42" spans="2:4">
      <c r="C42" s="2"/>
    </row>
    <row r="43" spans="2:4">
      <c r="C43" s="2"/>
    </row>
    <row r="44" spans="2:4">
      <c r="C44" s="2"/>
    </row>
    <row r="45" spans="2:4">
      <c r="C45" s="2"/>
    </row>
    <row r="46" spans="2:4">
      <c r="C46" s="2"/>
    </row>
    <row r="47" spans="2:4">
      <c r="C47" s="2"/>
    </row>
    <row r="48" spans="2:4">
      <c r="D48" s="2"/>
    </row>
    <row r="49" spans="4:25">
      <c r="D49" s="2"/>
    </row>
    <row r="50" spans="4:25">
      <c r="D50" s="2"/>
    </row>
    <row r="51" spans="4:25">
      <c r="D51" s="2"/>
    </row>
    <row r="52" spans="4:25">
      <c r="D52" s="2"/>
    </row>
    <row r="53" spans="4:25">
      <c r="D53" s="2"/>
    </row>
    <row r="54" spans="4:25">
      <c r="D54" s="2"/>
    </row>
    <row r="55" spans="4:25">
      <c r="D55" s="2"/>
    </row>
    <row r="56" spans="4:25">
      <c r="D56" s="2"/>
    </row>
    <row r="57" spans="4:25">
      <c r="D57" s="2"/>
    </row>
    <row r="58" spans="4:25">
      <c r="D58" s="2"/>
    </row>
    <row r="59" spans="4:25">
      <c r="D59" s="2"/>
    </row>
    <row r="60" spans="4:25">
      <c r="D60" s="2"/>
      <c r="X60" s="4"/>
      <c r="Y60" s="4"/>
    </row>
    <row r="61" spans="4:25">
      <c r="D61" s="2"/>
      <c r="X61" s="4"/>
      <c r="Y61" s="4"/>
    </row>
    <row r="62" spans="4:25">
      <c r="E62" s="2"/>
      <c r="X62" s="4"/>
      <c r="Y62" s="4"/>
    </row>
    <row r="63" spans="4:25">
      <c r="E63" s="2"/>
      <c r="X63" s="4"/>
      <c r="Y63" s="4"/>
    </row>
    <row r="64" spans="4:25">
      <c r="E64" s="2"/>
      <c r="X64" s="4"/>
      <c r="Y64" s="4"/>
    </row>
    <row r="65" spans="5:25">
      <c r="E65" s="2"/>
      <c r="X65" s="4"/>
      <c r="Y65" s="4"/>
    </row>
    <row r="66" spans="5:25" ht="18">
      <c r="E66" s="2"/>
      <c r="X66" s="7"/>
      <c r="Y66" s="4"/>
    </row>
    <row r="67" spans="5:25">
      <c r="E67" s="2"/>
      <c r="X67" s="4"/>
      <c r="Y67" s="4"/>
    </row>
    <row r="68" spans="5:25">
      <c r="E68" s="2"/>
      <c r="X68" s="4"/>
      <c r="Y68" s="4"/>
    </row>
    <row r="69" spans="5:25">
      <c r="E69" s="2"/>
      <c r="X69" s="4"/>
      <c r="Y69" s="4"/>
    </row>
    <row r="70" spans="5:25">
      <c r="E70" s="2"/>
    </row>
    <row r="71" spans="5:25">
      <c r="E71" s="2"/>
    </row>
    <row r="72" spans="5:25">
      <c r="E72" s="2"/>
    </row>
    <row r="73" spans="5:25">
      <c r="E73" s="2"/>
    </row>
    <row r="74" spans="5:25">
      <c r="E74" s="2"/>
    </row>
    <row r="75" spans="5:25">
      <c r="E75" s="2"/>
    </row>
    <row r="108" spans="7:9" ht="18">
      <c r="G108" s="7"/>
      <c r="H108" s="5"/>
      <c r="I108" s="5"/>
    </row>
  </sheetData>
  <mergeCells count="1">
    <mergeCell ref="B3:F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6" tint="-0.249977111117893"/>
  </sheetPr>
  <dimension ref="A1:AZ113"/>
  <sheetViews>
    <sheetView showGridLines="0" zoomScale="75" zoomScaleNormal="75" workbookViewId="0">
      <selection activeCell="F10" sqref="F10"/>
    </sheetView>
  </sheetViews>
  <sheetFormatPr defaultColWidth="9" defaultRowHeight="13.8"/>
  <cols>
    <col min="1" max="1" width="11.77734375" style="40" customWidth="1"/>
    <col min="2" max="2" width="27.44140625" style="40" customWidth="1"/>
    <col min="3" max="3" width="8.44140625" style="40" customWidth="1"/>
    <col min="4" max="4" width="21.88671875" style="40" customWidth="1"/>
    <col min="5" max="5" width="22.21875" style="40" customWidth="1"/>
    <col min="6" max="6" width="19.109375" style="40" customWidth="1"/>
    <col min="7" max="7" width="8.21875" style="40" customWidth="1"/>
    <col min="8" max="8" width="19.44140625" style="40" customWidth="1"/>
    <col min="9" max="9" width="22.21875" style="40" customWidth="1"/>
    <col min="10" max="10" width="23.88671875" style="40" customWidth="1"/>
    <col min="11" max="11" width="12.21875" style="40" customWidth="1"/>
    <col min="12" max="12" width="25.44140625" style="40" customWidth="1"/>
    <col min="13" max="13" width="20" style="40" customWidth="1"/>
    <col min="14" max="14" width="22.77734375" style="40" customWidth="1"/>
    <col min="15" max="15" width="21" style="40" customWidth="1"/>
    <col min="16" max="16" width="13.33203125" style="40" customWidth="1"/>
    <col min="17" max="17" width="18.77734375" style="40" customWidth="1"/>
    <col min="18" max="18" width="17.77734375" style="40" customWidth="1"/>
    <col min="19" max="19" width="21" style="40" customWidth="1"/>
    <col min="20" max="20" width="22.21875" style="40" customWidth="1"/>
    <col min="21" max="21" width="18.77734375" style="40" bestFit="1" customWidth="1"/>
    <col min="22" max="16384" width="9" style="40"/>
  </cols>
  <sheetData>
    <row r="1" spans="1:52" ht="30.3" customHeight="1">
      <c r="A1" s="37"/>
      <c r="B1" s="38" t="s">
        <v>157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7"/>
      <c r="R1" s="39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</row>
    <row r="2" spans="1:52" ht="25.2" customHeight="1" thickBot="1">
      <c r="A2" s="41"/>
      <c r="B2" s="42" t="s">
        <v>158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1"/>
      <c r="R2" s="43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</row>
    <row r="3" spans="1:52" s="51" customFormat="1" ht="23.25" customHeight="1">
      <c r="A3" s="44"/>
      <c r="B3" s="207" t="s">
        <v>159</v>
      </c>
      <c r="C3" s="207"/>
      <c r="D3" s="207"/>
      <c r="E3" s="207"/>
      <c r="F3" s="207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</row>
    <row r="4" spans="1:52" s="51" customFormat="1" ht="12.3" customHeight="1">
      <c r="A4" s="48"/>
      <c r="G4" s="180"/>
    </row>
    <row r="5" spans="1:52" s="51" customFormat="1">
      <c r="A5" s="48"/>
      <c r="G5" s="180"/>
    </row>
    <row r="6" spans="1:52" s="51" customFormat="1">
      <c r="A6" s="48"/>
      <c r="G6" s="180"/>
    </row>
    <row r="7" spans="1:52" s="51" customFormat="1"/>
    <row r="8" spans="1:52" s="51" customFormat="1" ht="14.4" thickBot="1">
      <c r="I8" s="54" t="s">
        <v>156</v>
      </c>
      <c r="Q8" s="181"/>
      <c r="R8" s="54" t="s">
        <v>153</v>
      </c>
      <c r="S8" s="106" t="s">
        <v>154</v>
      </c>
      <c r="T8" s="107" t="s">
        <v>155</v>
      </c>
    </row>
    <row r="9" spans="1:52" s="51" customFormat="1" ht="42.15" customHeight="1" thickBot="1">
      <c r="A9" s="57"/>
      <c r="B9" s="57"/>
      <c r="C9" s="57"/>
      <c r="D9" s="209" t="s">
        <v>246</v>
      </c>
      <c r="E9" s="209"/>
      <c r="F9" s="209"/>
      <c r="G9" s="57"/>
      <c r="H9" s="209" t="s">
        <v>224</v>
      </c>
      <c r="I9" s="209"/>
      <c r="J9" s="209"/>
      <c r="K9" s="57"/>
      <c r="L9" s="209" t="s">
        <v>225</v>
      </c>
      <c r="M9" s="209"/>
      <c r="N9" s="209"/>
      <c r="O9" s="209"/>
      <c r="P9" s="57"/>
      <c r="Q9" s="209" t="s">
        <v>226</v>
      </c>
      <c r="R9" s="209"/>
      <c r="S9" s="209"/>
      <c r="T9" s="209"/>
    </row>
    <row r="10" spans="1:52" s="51" customFormat="1" ht="38.1" customHeight="1" thickBot="1">
      <c r="A10" s="61" t="s">
        <v>93</v>
      </c>
      <c r="B10" s="61" t="s">
        <v>163</v>
      </c>
      <c r="C10" s="61"/>
      <c r="D10" s="61" t="s">
        <v>256</v>
      </c>
      <c r="E10" s="61" t="s">
        <v>183</v>
      </c>
      <c r="F10" s="61" t="s">
        <v>185</v>
      </c>
      <c r="G10" s="61"/>
      <c r="H10" s="61" t="s">
        <v>256</v>
      </c>
      <c r="I10" s="61" t="s">
        <v>217</v>
      </c>
      <c r="J10" s="61" t="s">
        <v>218</v>
      </c>
      <c r="K10" s="61"/>
      <c r="L10" s="61" t="s">
        <v>219</v>
      </c>
      <c r="M10" s="61" t="s">
        <v>256</v>
      </c>
      <c r="N10" s="61" t="s">
        <v>217</v>
      </c>
      <c r="O10" s="61" t="s">
        <v>218</v>
      </c>
      <c r="P10" s="61"/>
      <c r="Q10" s="61" t="s">
        <v>216</v>
      </c>
      <c r="R10" s="61" t="s">
        <v>256</v>
      </c>
      <c r="S10" s="61" t="s">
        <v>217</v>
      </c>
      <c r="T10" s="61" t="s">
        <v>218</v>
      </c>
    </row>
    <row r="11" spans="1:52">
      <c r="A11" s="40" t="s">
        <v>0</v>
      </c>
      <c r="B11" s="176">
        <f>'1.Reel GSYH '!B9</f>
        <v>0</v>
      </c>
      <c r="C11" s="83"/>
      <c r="D11" s="175">
        <f>'1.Reel GSYH '!Q9</f>
        <v>0</v>
      </c>
      <c r="E11" s="72">
        <f>'1.Reel GSYH '!R9</f>
        <v>0</v>
      </c>
      <c r="F11" s="176">
        <f>'1.Reel GSYH '!S9</f>
        <v>0</v>
      </c>
      <c r="H11" s="81" t="e">
        <f t="shared" ref="H11:H23" si="0">D11/$B11*100</f>
        <v>#DIV/0!</v>
      </c>
      <c r="I11" s="78" t="e">
        <f>E11/$B11*100</f>
        <v>#DIV/0!</v>
      </c>
      <c r="J11" s="79" t="e">
        <f t="shared" ref="J11:J23" si="1">F11/$B11*100</f>
        <v>#DIV/0!</v>
      </c>
      <c r="K11" s="182"/>
      <c r="L11" s="77"/>
      <c r="M11" s="77"/>
      <c r="N11" s="77"/>
      <c r="O11" s="79"/>
      <c r="Q11" s="81"/>
      <c r="R11" s="77"/>
      <c r="S11" s="77"/>
      <c r="T11" s="79"/>
    </row>
    <row r="12" spans="1:52">
      <c r="A12" s="40" t="s">
        <v>1</v>
      </c>
      <c r="B12" s="176">
        <f>'1.Reel GSYH '!B10</f>
        <v>0</v>
      </c>
      <c r="C12" s="83"/>
      <c r="D12" s="175">
        <f>'1.Reel GSYH '!Q10</f>
        <v>0</v>
      </c>
      <c r="E12" s="72">
        <f>'1.Reel GSYH '!R10</f>
        <v>0</v>
      </c>
      <c r="F12" s="176">
        <f>'1.Reel GSYH '!S10</f>
        <v>0</v>
      </c>
      <c r="H12" s="81" t="e">
        <f t="shared" si="0"/>
        <v>#DIV/0!</v>
      </c>
      <c r="I12" s="78" t="e">
        <f t="shared" ref="I12:I75" si="2">E12/$B12*100</f>
        <v>#DIV/0!</v>
      </c>
      <c r="J12" s="79" t="e">
        <f t="shared" si="1"/>
        <v>#DIV/0!</v>
      </c>
      <c r="K12" s="182"/>
      <c r="L12" s="77"/>
      <c r="M12" s="77"/>
      <c r="N12" s="77"/>
      <c r="O12" s="79"/>
      <c r="Q12" s="81"/>
      <c r="R12" s="77"/>
      <c r="S12" s="77"/>
      <c r="T12" s="79"/>
    </row>
    <row r="13" spans="1:52">
      <c r="A13" s="40" t="s">
        <v>2</v>
      </c>
      <c r="B13" s="176">
        <f>'1.Reel GSYH '!B11</f>
        <v>0</v>
      </c>
      <c r="C13" s="83"/>
      <c r="D13" s="175">
        <f>'1.Reel GSYH '!Q11</f>
        <v>0</v>
      </c>
      <c r="E13" s="72">
        <f>'1.Reel GSYH '!R11</f>
        <v>0</v>
      </c>
      <c r="F13" s="176">
        <f>'1.Reel GSYH '!S11</f>
        <v>0</v>
      </c>
      <c r="H13" s="81" t="e">
        <f t="shared" si="0"/>
        <v>#DIV/0!</v>
      </c>
      <c r="I13" s="78" t="e">
        <f t="shared" si="2"/>
        <v>#DIV/0!</v>
      </c>
      <c r="J13" s="79" t="e">
        <f t="shared" si="1"/>
        <v>#DIV/0!</v>
      </c>
      <c r="K13" s="182"/>
      <c r="L13" s="77"/>
      <c r="M13" s="77"/>
      <c r="N13" s="77"/>
      <c r="O13" s="79"/>
      <c r="Q13" s="81"/>
      <c r="R13" s="77"/>
      <c r="S13" s="77"/>
      <c r="T13" s="79"/>
    </row>
    <row r="14" spans="1:52">
      <c r="A14" s="40" t="s">
        <v>3</v>
      </c>
      <c r="B14" s="176">
        <f>'1.Reel GSYH '!B12</f>
        <v>0</v>
      </c>
      <c r="C14" s="83"/>
      <c r="D14" s="175">
        <f>'1.Reel GSYH '!Q12</f>
        <v>0</v>
      </c>
      <c r="E14" s="72">
        <f>'1.Reel GSYH '!R12</f>
        <v>0</v>
      </c>
      <c r="F14" s="176">
        <f>'1.Reel GSYH '!S12</f>
        <v>0</v>
      </c>
      <c r="H14" s="81" t="e">
        <f t="shared" si="0"/>
        <v>#DIV/0!</v>
      </c>
      <c r="I14" s="78" t="e">
        <f t="shared" si="2"/>
        <v>#DIV/0!</v>
      </c>
      <c r="J14" s="79" t="e">
        <f t="shared" si="1"/>
        <v>#DIV/0!</v>
      </c>
      <c r="K14" s="182"/>
      <c r="L14" s="77"/>
      <c r="M14" s="77"/>
      <c r="N14" s="77"/>
      <c r="O14" s="79"/>
      <c r="Q14" s="81"/>
      <c r="R14" s="77"/>
      <c r="S14" s="77"/>
      <c r="T14" s="79"/>
    </row>
    <row r="15" spans="1:52">
      <c r="A15" s="40" t="s">
        <v>4</v>
      </c>
      <c r="B15" s="176">
        <f>'1.Reel GSYH '!B13</f>
        <v>0</v>
      </c>
      <c r="C15" s="83"/>
      <c r="D15" s="175">
        <f>'1.Reel GSYH '!Q13</f>
        <v>0</v>
      </c>
      <c r="E15" s="72">
        <f>'1.Reel GSYH '!R13</f>
        <v>0</v>
      </c>
      <c r="F15" s="176">
        <f>'1.Reel GSYH '!S13</f>
        <v>0</v>
      </c>
      <c r="H15" s="81" t="e">
        <f t="shared" si="0"/>
        <v>#DIV/0!</v>
      </c>
      <c r="I15" s="78" t="e">
        <f t="shared" si="2"/>
        <v>#DIV/0!</v>
      </c>
      <c r="J15" s="79" t="e">
        <f t="shared" si="1"/>
        <v>#DIV/0!</v>
      </c>
      <c r="K15" s="182"/>
      <c r="L15" s="77" t="e">
        <f t="shared" ref="L15:L27" si="3">(B15/B11-1)*100</f>
        <v>#DIV/0!</v>
      </c>
      <c r="M15" s="77" t="e">
        <f t="shared" ref="M15:M27" si="4">(D15/D11-1)*100</f>
        <v>#DIV/0!</v>
      </c>
      <c r="N15" s="77" t="e">
        <f t="shared" ref="N15:N27" si="5">(E15/E11-1)*100</f>
        <v>#DIV/0!</v>
      </c>
      <c r="O15" s="79" t="e">
        <f t="shared" ref="O15:O27" si="6">(F15/F11-1)*100</f>
        <v>#DIV/0!</v>
      </c>
      <c r="Q15" s="81" t="e">
        <f t="shared" ref="Q15:Q27" si="7">(B15/B11-1)*100</f>
        <v>#DIV/0!</v>
      </c>
      <c r="R15" s="78" t="e">
        <f>((D15-D11)/$B11)*100</f>
        <v>#DIV/0!</v>
      </c>
      <c r="S15" s="106" t="e">
        <f>((E15-E11)/$B11)*100</f>
        <v>#DIV/0!</v>
      </c>
      <c r="T15" s="107" t="e">
        <f>((F15-F11)/$B11)*100</f>
        <v>#DIV/0!</v>
      </c>
    </row>
    <row r="16" spans="1:52">
      <c r="A16" s="40" t="s">
        <v>5</v>
      </c>
      <c r="B16" s="176">
        <f>'1.Reel GSYH '!B14</f>
        <v>0</v>
      </c>
      <c r="C16" s="83"/>
      <c r="D16" s="175">
        <f>'1.Reel GSYH '!Q14</f>
        <v>0</v>
      </c>
      <c r="E16" s="72">
        <f>'1.Reel GSYH '!R14</f>
        <v>0</v>
      </c>
      <c r="F16" s="176">
        <f>'1.Reel GSYH '!S14</f>
        <v>0</v>
      </c>
      <c r="H16" s="81" t="e">
        <f t="shared" si="0"/>
        <v>#DIV/0!</v>
      </c>
      <c r="I16" s="78" t="e">
        <f t="shared" si="2"/>
        <v>#DIV/0!</v>
      </c>
      <c r="J16" s="79" t="e">
        <f t="shared" si="1"/>
        <v>#DIV/0!</v>
      </c>
      <c r="K16" s="182"/>
      <c r="L16" s="77" t="e">
        <f t="shared" si="3"/>
        <v>#DIV/0!</v>
      </c>
      <c r="M16" s="77" t="e">
        <f t="shared" si="4"/>
        <v>#DIV/0!</v>
      </c>
      <c r="N16" s="77" t="e">
        <f t="shared" si="5"/>
        <v>#DIV/0!</v>
      </c>
      <c r="O16" s="79" t="e">
        <f t="shared" si="6"/>
        <v>#DIV/0!</v>
      </c>
      <c r="Q16" s="81" t="e">
        <f t="shared" si="7"/>
        <v>#DIV/0!</v>
      </c>
      <c r="R16" s="78" t="e">
        <f t="shared" ref="R16:R79" si="8">((D16-D12)/$B12)*100</f>
        <v>#DIV/0!</v>
      </c>
      <c r="S16" s="77" t="e">
        <f t="shared" ref="S16:S27" si="9">((E16-E12)/$B12)*100</f>
        <v>#DIV/0!</v>
      </c>
      <c r="T16" s="79" t="e">
        <f t="shared" ref="T16:T27" si="10">((F16-F12)/$B12)*100</f>
        <v>#DIV/0!</v>
      </c>
    </row>
    <row r="17" spans="1:20">
      <c r="A17" s="40" t="s">
        <v>6</v>
      </c>
      <c r="B17" s="176">
        <f>'1.Reel GSYH '!B15</f>
        <v>0</v>
      </c>
      <c r="C17" s="83"/>
      <c r="D17" s="175">
        <f>'1.Reel GSYH '!Q15</f>
        <v>0</v>
      </c>
      <c r="E17" s="72">
        <f>'1.Reel GSYH '!R15</f>
        <v>0</v>
      </c>
      <c r="F17" s="176">
        <f>'1.Reel GSYH '!S15</f>
        <v>0</v>
      </c>
      <c r="H17" s="81" t="e">
        <f t="shared" si="0"/>
        <v>#DIV/0!</v>
      </c>
      <c r="I17" s="78" t="e">
        <f t="shared" si="2"/>
        <v>#DIV/0!</v>
      </c>
      <c r="J17" s="79" t="e">
        <f t="shared" si="1"/>
        <v>#DIV/0!</v>
      </c>
      <c r="K17" s="182"/>
      <c r="L17" s="77" t="e">
        <f t="shared" si="3"/>
        <v>#DIV/0!</v>
      </c>
      <c r="M17" s="77" t="e">
        <f t="shared" si="4"/>
        <v>#DIV/0!</v>
      </c>
      <c r="N17" s="77" t="e">
        <f t="shared" si="5"/>
        <v>#DIV/0!</v>
      </c>
      <c r="O17" s="79" t="e">
        <f t="shared" si="6"/>
        <v>#DIV/0!</v>
      </c>
      <c r="Q17" s="81" t="e">
        <f t="shared" si="7"/>
        <v>#DIV/0!</v>
      </c>
      <c r="R17" s="78" t="e">
        <f t="shared" si="8"/>
        <v>#DIV/0!</v>
      </c>
      <c r="S17" s="77" t="e">
        <f t="shared" si="9"/>
        <v>#DIV/0!</v>
      </c>
      <c r="T17" s="79" t="e">
        <f t="shared" si="10"/>
        <v>#DIV/0!</v>
      </c>
    </row>
    <row r="18" spans="1:20">
      <c r="A18" s="40" t="s">
        <v>7</v>
      </c>
      <c r="B18" s="176">
        <f>'1.Reel GSYH '!B16</f>
        <v>0</v>
      </c>
      <c r="C18" s="83"/>
      <c r="D18" s="175">
        <f>'1.Reel GSYH '!Q16</f>
        <v>0</v>
      </c>
      <c r="E18" s="72">
        <f>'1.Reel GSYH '!R16</f>
        <v>0</v>
      </c>
      <c r="F18" s="176">
        <f>'1.Reel GSYH '!S16</f>
        <v>0</v>
      </c>
      <c r="H18" s="81" t="e">
        <f t="shared" si="0"/>
        <v>#DIV/0!</v>
      </c>
      <c r="I18" s="78" t="e">
        <f t="shared" si="2"/>
        <v>#DIV/0!</v>
      </c>
      <c r="J18" s="79" t="e">
        <f t="shared" si="1"/>
        <v>#DIV/0!</v>
      </c>
      <c r="K18" s="182"/>
      <c r="L18" s="77" t="e">
        <f t="shared" si="3"/>
        <v>#DIV/0!</v>
      </c>
      <c r="M18" s="77" t="e">
        <f t="shared" si="4"/>
        <v>#DIV/0!</v>
      </c>
      <c r="N18" s="77" t="e">
        <f t="shared" si="5"/>
        <v>#DIV/0!</v>
      </c>
      <c r="O18" s="79" t="e">
        <f t="shared" si="6"/>
        <v>#DIV/0!</v>
      </c>
      <c r="Q18" s="81" t="e">
        <f t="shared" si="7"/>
        <v>#DIV/0!</v>
      </c>
      <c r="R18" s="78" t="e">
        <f t="shared" si="8"/>
        <v>#DIV/0!</v>
      </c>
      <c r="S18" s="77" t="e">
        <f t="shared" si="9"/>
        <v>#DIV/0!</v>
      </c>
      <c r="T18" s="79" t="e">
        <f t="shared" si="10"/>
        <v>#DIV/0!</v>
      </c>
    </row>
    <row r="19" spans="1:20">
      <c r="A19" s="40" t="s">
        <v>8</v>
      </c>
      <c r="B19" s="176">
        <f>'1.Reel GSYH '!B17</f>
        <v>0</v>
      </c>
      <c r="C19" s="83"/>
      <c r="D19" s="175">
        <f>'1.Reel GSYH '!Q17</f>
        <v>0</v>
      </c>
      <c r="E19" s="72">
        <f>'1.Reel GSYH '!R17</f>
        <v>0</v>
      </c>
      <c r="F19" s="176">
        <f>'1.Reel GSYH '!S17</f>
        <v>0</v>
      </c>
      <c r="H19" s="81" t="e">
        <f t="shared" si="0"/>
        <v>#DIV/0!</v>
      </c>
      <c r="I19" s="78" t="e">
        <f t="shared" si="2"/>
        <v>#DIV/0!</v>
      </c>
      <c r="J19" s="79" t="e">
        <f t="shared" si="1"/>
        <v>#DIV/0!</v>
      </c>
      <c r="K19" s="182"/>
      <c r="L19" s="77" t="e">
        <f t="shared" si="3"/>
        <v>#DIV/0!</v>
      </c>
      <c r="M19" s="77" t="e">
        <f t="shared" si="4"/>
        <v>#DIV/0!</v>
      </c>
      <c r="N19" s="77" t="e">
        <f t="shared" si="5"/>
        <v>#DIV/0!</v>
      </c>
      <c r="O19" s="79" t="e">
        <f t="shared" si="6"/>
        <v>#DIV/0!</v>
      </c>
      <c r="Q19" s="81" t="e">
        <f t="shared" si="7"/>
        <v>#DIV/0!</v>
      </c>
      <c r="R19" s="78" t="e">
        <f t="shared" si="8"/>
        <v>#DIV/0!</v>
      </c>
      <c r="S19" s="77" t="e">
        <f t="shared" si="9"/>
        <v>#DIV/0!</v>
      </c>
      <c r="T19" s="79" t="e">
        <f t="shared" si="10"/>
        <v>#DIV/0!</v>
      </c>
    </row>
    <row r="20" spans="1:20">
      <c r="A20" s="40" t="s">
        <v>9</v>
      </c>
      <c r="B20" s="176">
        <f>'1.Reel GSYH '!B18</f>
        <v>0</v>
      </c>
      <c r="C20" s="83"/>
      <c r="D20" s="175">
        <f>'1.Reel GSYH '!Q18</f>
        <v>0</v>
      </c>
      <c r="E20" s="72">
        <f>'1.Reel GSYH '!R18</f>
        <v>0</v>
      </c>
      <c r="F20" s="176">
        <f>'1.Reel GSYH '!S18</f>
        <v>0</v>
      </c>
      <c r="H20" s="81" t="e">
        <f t="shared" si="0"/>
        <v>#DIV/0!</v>
      </c>
      <c r="I20" s="78" t="e">
        <f t="shared" si="2"/>
        <v>#DIV/0!</v>
      </c>
      <c r="J20" s="79" t="e">
        <f t="shared" si="1"/>
        <v>#DIV/0!</v>
      </c>
      <c r="K20" s="182"/>
      <c r="L20" s="77" t="e">
        <f t="shared" si="3"/>
        <v>#DIV/0!</v>
      </c>
      <c r="M20" s="77" t="e">
        <f t="shared" si="4"/>
        <v>#DIV/0!</v>
      </c>
      <c r="N20" s="77" t="e">
        <f t="shared" si="5"/>
        <v>#DIV/0!</v>
      </c>
      <c r="O20" s="79" t="e">
        <f t="shared" si="6"/>
        <v>#DIV/0!</v>
      </c>
      <c r="Q20" s="81" t="e">
        <f t="shared" si="7"/>
        <v>#DIV/0!</v>
      </c>
      <c r="R20" s="78" t="e">
        <f t="shared" si="8"/>
        <v>#DIV/0!</v>
      </c>
      <c r="S20" s="77" t="e">
        <f t="shared" si="9"/>
        <v>#DIV/0!</v>
      </c>
      <c r="T20" s="79" t="e">
        <f t="shared" si="10"/>
        <v>#DIV/0!</v>
      </c>
    </row>
    <row r="21" spans="1:20">
      <c r="A21" s="40" t="s">
        <v>10</v>
      </c>
      <c r="B21" s="176">
        <f>'1.Reel GSYH '!B19</f>
        <v>0</v>
      </c>
      <c r="C21" s="83"/>
      <c r="D21" s="175">
        <f>'1.Reel GSYH '!Q19</f>
        <v>0</v>
      </c>
      <c r="E21" s="72">
        <f>'1.Reel GSYH '!R19</f>
        <v>0</v>
      </c>
      <c r="F21" s="176">
        <f>'1.Reel GSYH '!S19</f>
        <v>0</v>
      </c>
      <c r="H21" s="81" t="e">
        <f t="shared" si="0"/>
        <v>#DIV/0!</v>
      </c>
      <c r="I21" s="78" t="e">
        <f t="shared" si="2"/>
        <v>#DIV/0!</v>
      </c>
      <c r="J21" s="79" t="e">
        <f t="shared" si="1"/>
        <v>#DIV/0!</v>
      </c>
      <c r="K21" s="182"/>
      <c r="L21" s="77" t="e">
        <f t="shared" si="3"/>
        <v>#DIV/0!</v>
      </c>
      <c r="M21" s="77" t="e">
        <f t="shared" si="4"/>
        <v>#DIV/0!</v>
      </c>
      <c r="N21" s="77" t="e">
        <f t="shared" si="5"/>
        <v>#DIV/0!</v>
      </c>
      <c r="O21" s="79" t="e">
        <f t="shared" si="6"/>
        <v>#DIV/0!</v>
      </c>
      <c r="Q21" s="81" t="e">
        <f t="shared" si="7"/>
        <v>#DIV/0!</v>
      </c>
      <c r="R21" s="78" t="e">
        <f t="shared" si="8"/>
        <v>#DIV/0!</v>
      </c>
      <c r="S21" s="77" t="e">
        <f t="shared" si="9"/>
        <v>#DIV/0!</v>
      </c>
      <c r="T21" s="79" t="e">
        <f t="shared" si="10"/>
        <v>#DIV/0!</v>
      </c>
    </row>
    <row r="22" spans="1:20">
      <c r="A22" s="40" t="s">
        <v>11</v>
      </c>
      <c r="B22" s="176">
        <f>'1.Reel GSYH '!B20</f>
        <v>0</v>
      </c>
      <c r="C22" s="83"/>
      <c r="D22" s="175">
        <f>'1.Reel GSYH '!Q20</f>
        <v>0</v>
      </c>
      <c r="E22" s="72">
        <f>'1.Reel GSYH '!R20</f>
        <v>0</v>
      </c>
      <c r="F22" s="176">
        <f>'1.Reel GSYH '!S20</f>
        <v>0</v>
      </c>
      <c r="H22" s="81" t="e">
        <f t="shared" si="0"/>
        <v>#DIV/0!</v>
      </c>
      <c r="I22" s="78" t="e">
        <f t="shared" si="2"/>
        <v>#DIV/0!</v>
      </c>
      <c r="J22" s="79" t="e">
        <f t="shared" si="1"/>
        <v>#DIV/0!</v>
      </c>
      <c r="K22" s="182"/>
      <c r="L22" s="77" t="e">
        <f t="shared" si="3"/>
        <v>#DIV/0!</v>
      </c>
      <c r="M22" s="77" t="e">
        <f t="shared" si="4"/>
        <v>#DIV/0!</v>
      </c>
      <c r="N22" s="77" t="e">
        <f t="shared" si="5"/>
        <v>#DIV/0!</v>
      </c>
      <c r="O22" s="79" t="e">
        <f t="shared" si="6"/>
        <v>#DIV/0!</v>
      </c>
      <c r="Q22" s="81" t="e">
        <f t="shared" si="7"/>
        <v>#DIV/0!</v>
      </c>
      <c r="R22" s="78" t="e">
        <f t="shared" si="8"/>
        <v>#DIV/0!</v>
      </c>
      <c r="S22" s="77" t="e">
        <f t="shared" si="9"/>
        <v>#DIV/0!</v>
      </c>
      <c r="T22" s="79" t="e">
        <f t="shared" si="10"/>
        <v>#DIV/0!</v>
      </c>
    </row>
    <row r="23" spans="1:20">
      <c r="A23" s="40" t="s">
        <v>12</v>
      </c>
      <c r="B23" s="176">
        <f>'1.Reel GSYH '!B21</f>
        <v>0</v>
      </c>
      <c r="C23" s="83"/>
      <c r="D23" s="175">
        <f>'1.Reel GSYH '!Q21</f>
        <v>0</v>
      </c>
      <c r="E23" s="72">
        <f>'1.Reel GSYH '!R21</f>
        <v>0</v>
      </c>
      <c r="F23" s="176">
        <f>'1.Reel GSYH '!S21</f>
        <v>0</v>
      </c>
      <c r="H23" s="81" t="e">
        <f t="shared" si="0"/>
        <v>#DIV/0!</v>
      </c>
      <c r="I23" s="78" t="e">
        <f t="shared" si="2"/>
        <v>#DIV/0!</v>
      </c>
      <c r="J23" s="79" t="e">
        <f t="shared" si="1"/>
        <v>#DIV/0!</v>
      </c>
      <c r="K23" s="182"/>
      <c r="L23" s="77" t="e">
        <f t="shared" si="3"/>
        <v>#DIV/0!</v>
      </c>
      <c r="M23" s="77" t="e">
        <f t="shared" si="4"/>
        <v>#DIV/0!</v>
      </c>
      <c r="N23" s="77" t="e">
        <f t="shared" si="5"/>
        <v>#DIV/0!</v>
      </c>
      <c r="O23" s="79" t="e">
        <f t="shared" si="6"/>
        <v>#DIV/0!</v>
      </c>
      <c r="Q23" s="81" t="e">
        <f t="shared" si="7"/>
        <v>#DIV/0!</v>
      </c>
      <c r="R23" s="78" t="e">
        <f t="shared" si="8"/>
        <v>#DIV/0!</v>
      </c>
      <c r="S23" s="77" t="e">
        <f t="shared" si="9"/>
        <v>#DIV/0!</v>
      </c>
      <c r="T23" s="79" t="e">
        <f t="shared" si="10"/>
        <v>#DIV/0!</v>
      </c>
    </row>
    <row r="24" spans="1:20">
      <c r="A24" s="40" t="s">
        <v>13</v>
      </c>
      <c r="B24" s="176">
        <f>'1.Reel GSYH '!B22</f>
        <v>0</v>
      </c>
      <c r="C24" s="83"/>
      <c r="D24" s="175">
        <f>'1.Reel GSYH '!Q22</f>
        <v>0</v>
      </c>
      <c r="E24" s="72">
        <f>'1.Reel GSYH '!R22</f>
        <v>0</v>
      </c>
      <c r="F24" s="176">
        <f>'1.Reel GSYH '!S22</f>
        <v>0</v>
      </c>
      <c r="H24" s="81" t="e">
        <f t="shared" ref="H24:H87" si="11">D24/$B24*100</f>
        <v>#DIV/0!</v>
      </c>
      <c r="I24" s="78" t="e">
        <f t="shared" si="2"/>
        <v>#DIV/0!</v>
      </c>
      <c r="J24" s="79" t="e">
        <f t="shared" ref="J24:J87" si="12">F24/$B24*100</f>
        <v>#DIV/0!</v>
      </c>
      <c r="K24" s="182"/>
      <c r="L24" s="77" t="e">
        <f t="shared" si="3"/>
        <v>#DIV/0!</v>
      </c>
      <c r="M24" s="77" t="e">
        <f t="shared" si="4"/>
        <v>#DIV/0!</v>
      </c>
      <c r="N24" s="77" t="e">
        <f t="shared" si="5"/>
        <v>#DIV/0!</v>
      </c>
      <c r="O24" s="79" t="e">
        <f t="shared" si="6"/>
        <v>#DIV/0!</v>
      </c>
      <c r="Q24" s="81" t="e">
        <f t="shared" si="7"/>
        <v>#DIV/0!</v>
      </c>
      <c r="R24" s="78" t="e">
        <f t="shared" si="8"/>
        <v>#DIV/0!</v>
      </c>
      <c r="S24" s="77" t="e">
        <f t="shared" si="9"/>
        <v>#DIV/0!</v>
      </c>
      <c r="T24" s="79" t="e">
        <f t="shared" si="10"/>
        <v>#DIV/0!</v>
      </c>
    </row>
    <row r="25" spans="1:20">
      <c r="A25" s="40" t="s">
        <v>14</v>
      </c>
      <c r="B25" s="176">
        <f>'1.Reel GSYH '!B23</f>
        <v>0</v>
      </c>
      <c r="C25" s="83"/>
      <c r="D25" s="175">
        <f>'1.Reel GSYH '!Q23</f>
        <v>0</v>
      </c>
      <c r="E25" s="72">
        <f>'1.Reel GSYH '!R23</f>
        <v>0</v>
      </c>
      <c r="F25" s="176">
        <f>'1.Reel GSYH '!S23</f>
        <v>0</v>
      </c>
      <c r="H25" s="81" t="e">
        <f t="shared" si="11"/>
        <v>#DIV/0!</v>
      </c>
      <c r="I25" s="78" t="e">
        <f t="shared" si="2"/>
        <v>#DIV/0!</v>
      </c>
      <c r="J25" s="79" t="e">
        <f t="shared" si="12"/>
        <v>#DIV/0!</v>
      </c>
      <c r="K25" s="182"/>
      <c r="L25" s="77" t="e">
        <f t="shared" si="3"/>
        <v>#DIV/0!</v>
      </c>
      <c r="M25" s="77" t="e">
        <f t="shared" si="4"/>
        <v>#DIV/0!</v>
      </c>
      <c r="N25" s="77" t="e">
        <f t="shared" si="5"/>
        <v>#DIV/0!</v>
      </c>
      <c r="O25" s="79" t="e">
        <f t="shared" si="6"/>
        <v>#DIV/0!</v>
      </c>
      <c r="Q25" s="81" t="e">
        <f t="shared" si="7"/>
        <v>#DIV/0!</v>
      </c>
      <c r="R25" s="78" t="e">
        <f t="shared" si="8"/>
        <v>#DIV/0!</v>
      </c>
      <c r="S25" s="77" t="e">
        <f t="shared" si="9"/>
        <v>#DIV/0!</v>
      </c>
      <c r="T25" s="79" t="e">
        <f t="shared" si="10"/>
        <v>#DIV/0!</v>
      </c>
    </row>
    <row r="26" spans="1:20">
      <c r="A26" s="40" t="s">
        <v>15</v>
      </c>
      <c r="B26" s="176">
        <f>'1.Reel GSYH '!B24</f>
        <v>0</v>
      </c>
      <c r="C26" s="83"/>
      <c r="D26" s="175">
        <f>'1.Reel GSYH '!Q24</f>
        <v>0</v>
      </c>
      <c r="E26" s="72">
        <f>'1.Reel GSYH '!R24</f>
        <v>0</v>
      </c>
      <c r="F26" s="176">
        <f>'1.Reel GSYH '!S24</f>
        <v>0</v>
      </c>
      <c r="H26" s="81" t="e">
        <f t="shared" si="11"/>
        <v>#DIV/0!</v>
      </c>
      <c r="I26" s="78" t="e">
        <f t="shared" si="2"/>
        <v>#DIV/0!</v>
      </c>
      <c r="J26" s="79" t="e">
        <f t="shared" si="12"/>
        <v>#DIV/0!</v>
      </c>
      <c r="K26" s="182"/>
      <c r="L26" s="77" t="e">
        <f t="shared" si="3"/>
        <v>#DIV/0!</v>
      </c>
      <c r="M26" s="77" t="e">
        <f t="shared" si="4"/>
        <v>#DIV/0!</v>
      </c>
      <c r="N26" s="77" t="e">
        <f t="shared" si="5"/>
        <v>#DIV/0!</v>
      </c>
      <c r="O26" s="79" t="e">
        <f t="shared" si="6"/>
        <v>#DIV/0!</v>
      </c>
      <c r="Q26" s="81" t="e">
        <f t="shared" si="7"/>
        <v>#DIV/0!</v>
      </c>
      <c r="R26" s="78" t="e">
        <f t="shared" si="8"/>
        <v>#DIV/0!</v>
      </c>
      <c r="S26" s="77" t="e">
        <f t="shared" si="9"/>
        <v>#DIV/0!</v>
      </c>
      <c r="T26" s="79" t="e">
        <f t="shared" si="10"/>
        <v>#DIV/0!</v>
      </c>
    </row>
    <row r="27" spans="1:20">
      <c r="A27" s="40" t="s">
        <v>16</v>
      </c>
      <c r="B27" s="176">
        <f>'1.Reel GSYH '!B25</f>
        <v>0</v>
      </c>
      <c r="C27" s="83"/>
      <c r="D27" s="175">
        <f>'1.Reel GSYH '!Q25</f>
        <v>0</v>
      </c>
      <c r="E27" s="72">
        <f>'1.Reel GSYH '!R25</f>
        <v>0</v>
      </c>
      <c r="F27" s="176">
        <f>'1.Reel GSYH '!S25</f>
        <v>0</v>
      </c>
      <c r="H27" s="81" t="e">
        <f t="shared" si="11"/>
        <v>#DIV/0!</v>
      </c>
      <c r="I27" s="78" t="e">
        <f t="shared" si="2"/>
        <v>#DIV/0!</v>
      </c>
      <c r="J27" s="79" t="e">
        <f t="shared" si="12"/>
        <v>#DIV/0!</v>
      </c>
      <c r="K27" s="182"/>
      <c r="L27" s="77" t="e">
        <f t="shared" si="3"/>
        <v>#DIV/0!</v>
      </c>
      <c r="M27" s="77" t="e">
        <f t="shared" si="4"/>
        <v>#DIV/0!</v>
      </c>
      <c r="N27" s="77" t="e">
        <f t="shared" si="5"/>
        <v>#DIV/0!</v>
      </c>
      <c r="O27" s="79" t="e">
        <f t="shared" si="6"/>
        <v>#DIV/0!</v>
      </c>
      <c r="Q27" s="81" t="e">
        <f t="shared" si="7"/>
        <v>#DIV/0!</v>
      </c>
      <c r="R27" s="78" t="e">
        <f t="shared" si="8"/>
        <v>#DIV/0!</v>
      </c>
      <c r="S27" s="77" t="e">
        <f t="shared" si="9"/>
        <v>#DIV/0!</v>
      </c>
      <c r="T27" s="79" t="e">
        <f t="shared" si="10"/>
        <v>#DIV/0!</v>
      </c>
    </row>
    <row r="28" spans="1:20">
      <c r="A28" s="40" t="s">
        <v>17</v>
      </c>
      <c r="B28" s="176">
        <f>'1.Reel GSYH '!B26</f>
        <v>0</v>
      </c>
      <c r="C28" s="83"/>
      <c r="D28" s="175">
        <f>'1.Reel GSYH '!Q26</f>
        <v>0</v>
      </c>
      <c r="E28" s="72">
        <f>'1.Reel GSYH '!R26</f>
        <v>0</v>
      </c>
      <c r="F28" s="176">
        <f>'1.Reel GSYH '!S26</f>
        <v>0</v>
      </c>
      <c r="H28" s="81" t="e">
        <f t="shared" si="11"/>
        <v>#DIV/0!</v>
      </c>
      <c r="I28" s="78" t="e">
        <f t="shared" si="2"/>
        <v>#DIV/0!</v>
      </c>
      <c r="J28" s="79" t="e">
        <f t="shared" si="12"/>
        <v>#DIV/0!</v>
      </c>
      <c r="K28" s="182"/>
      <c r="L28" s="77" t="e">
        <f t="shared" ref="L28:L91" si="13">(B28/B24-1)*100</f>
        <v>#DIV/0!</v>
      </c>
      <c r="M28" s="77" t="e">
        <f t="shared" ref="M28:M91" si="14">(D28/D24-1)*100</f>
        <v>#DIV/0!</v>
      </c>
      <c r="N28" s="77" t="e">
        <f t="shared" ref="N28:N91" si="15">(E28/E24-1)*100</f>
        <v>#DIV/0!</v>
      </c>
      <c r="O28" s="79" t="e">
        <f t="shared" ref="O28:O91" si="16">(F28/F24-1)*100</f>
        <v>#DIV/0!</v>
      </c>
      <c r="Q28" s="81" t="e">
        <f t="shared" ref="Q28:Q91" si="17">(B28/B24-1)*100</f>
        <v>#DIV/0!</v>
      </c>
      <c r="R28" s="78" t="e">
        <f t="shared" si="8"/>
        <v>#DIV/0!</v>
      </c>
      <c r="S28" s="77" t="e">
        <f t="shared" ref="S28:S91" si="18">((E28-E24)/$B24)*100</f>
        <v>#DIV/0!</v>
      </c>
      <c r="T28" s="79" t="e">
        <f t="shared" ref="T28:T91" si="19">((F28-F24)/$B24)*100</f>
        <v>#DIV/0!</v>
      </c>
    </row>
    <row r="29" spans="1:20">
      <c r="A29" s="40" t="s">
        <v>18</v>
      </c>
      <c r="B29" s="176">
        <f>'1.Reel GSYH '!B27</f>
        <v>0</v>
      </c>
      <c r="C29" s="83"/>
      <c r="D29" s="175">
        <f>'1.Reel GSYH '!Q27</f>
        <v>0</v>
      </c>
      <c r="E29" s="72">
        <f>'1.Reel GSYH '!R27</f>
        <v>0</v>
      </c>
      <c r="F29" s="176">
        <f>'1.Reel GSYH '!S27</f>
        <v>0</v>
      </c>
      <c r="H29" s="81" t="e">
        <f t="shared" si="11"/>
        <v>#DIV/0!</v>
      </c>
      <c r="I29" s="78" t="e">
        <f t="shared" si="2"/>
        <v>#DIV/0!</v>
      </c>
      <c r="J29" s="79" t="e">
        <f t="shared" si="12"/>
        <v>#DIV/0!</v>
      </c>
      <c r="K29" s="182"/>
      <c r="L29" s="77" t="e">
        <f t="shared" si="13"/>
        <v>#DIV/0!</v>
      </c>
      <c r="M29" s="77" t="e">
        <f t="shared" si="14"/>
        <v>#DIV/0!</v>
      </c>
      <c r="N29" s="77" t="e">
        <f t="shared" si="15"/>
        <v>#DIV/0!</v>
      </c>
      <c r="O29" s="79" t="e">
        <f t="shared" si="16"/>
        <v>#DIV/0!</v>
      </c>
      <c r="Q29" s="81" t="e">
        <f t="shared" si="17"/>
        <v>#DIV/0!</v>
      </c>
      <c r="R29" s="78" t="e">
        <f t="shared" si="8"/>
        <v>#DIV/0!</v>
      </c>
      <c r="S29" s="77" t="e">
        <f t="shared" si="18"/>
        <v>#DIV/0!</v>
      </c>
      <c r="T29" s="79" t="e">
        <f t="shared" si="19"/>
        <v>#DIV/0!</v>
      </c>
    </row>
    <row r="30" spans="1:20">
      <c r="A30" s="40" t="s">
        <v>19</v>
      </c>
      <c r="B30" s="176">
        <f>'1.Reel GSYH '!B28</f>
        <v>0</v>
      </c>
      <c r="C30" s="83"/>
      <c r="D30" s="175">
        <f>'1.Reel GSYH '!Q28</f>
        <v>0</v>
      </c>
      <c r="E30" s="72">
        <f>'1.Reel GSYH '!R28</f>
        <v>0</v>
      </c>
      <c r="F30" s="176">
        <f>'1.Reel GSYH '!S28</f>
        <v>0</v>
      </c>
      <c r="H30" s="81" t="e">
        <f t="shared" si="11"/>
        <v>#DIV/0!</v>
      </c>
      <c r="I30" s="78" t="e">
        <f t="shared" si="2"/>
        <v>#DIV/0!</v>
      </c>
      <c r="J30" s="79" t="e">
        <f t="shared" si="12"/>
        <v>#DIV/0!</v>
      </c>
      <c r="K30" s="182"/>
      <c r="L30" s="77" t="e">
        <f t="shared" si="13"/>
        <v>#DIV/0!</v>
      </c>
      <c r="M30" s="77" t="e">
        <f t="shared" si="14"/>
        <v>#DIV/0!</v>
      </c>
      <c r="N30" s="77" t="e">
        <f t="shared" si="15"/>
        <v>#DIV/0!</v>
      </c>
      <c r="O30" s="79" t="e">
        <f t="shared" si="16"/>
        <v>#DIV/0!</v>
      </c>
      <c r="Q30" s="81" t="e">
        <f t="shared" si="17"/>
        <v>#DIV/0!</v>
      </c>
      <c r="R30" s="78" t="e">
        <f t="shared" si="8"/>
        <v>#DIV/0!</v>
      </c>
      <c r="S30" s="77" t="e">
        <f t="shared" si="18"/>
        <v>#DIV/0!</v>
      </c>
      <c r="T30" s="79" t="e">
        <f t="shared" si="19"/>
        <v>#DIV/0!</v>
      </c>
    </row>
    <row r="31" spans="1:20">
      <c r="A31" s="40" t="s">
        <v>20</v>
      </c>
      <c r="B31" s="176">
        <f>'1.Reel GSYH '!B29</f>
        <v>0</v>
      </c>
      <c r="C31" s="83"/>
      <c r="D31" s="175">
        <f>'1.Reel GSYH '!Q29</f>
        <v>0</v>
      </c>
      <c r="E31" s="72">
        <f>'1.Reel GSYH '!R29</f>
        <v>0</v>
      </c>
      <c r="F31" s="176">
        <f>'1.Reel GSYH '!S29</f>
        <v>0</v>
      </c>
      <c r="H31" s="81" t="e">
        <f t="shared" si="11"/>
        <v>#DIV/0!</v>
      </c>
      <c r="I31" s="78" t="e">
        <f t="shared" si="2"/>
        <v>#DIV/0!</v>
      </c>
      <c r="J31" s="79" t="e">
        <f t="shared" si="12"/>
        <v>#DIV/0!</v>
      </c>
      <c r="K31" s="182"/>
      <c r="L31" s="77" t="e">
        <f t="shared" si="13"/>
        <v>#DIV/0!</v>
      </c>
      <c r="M31" s="77" t="e">
        <f t="shared" si="14"/>
        <v>#DIV/0!</v>
      </c>
      <c r="N31" s="77" t="e">
        <f t="shared" si="15"/>
        <v>#DIV/0!</v>
      </c>
      <c r="O31" s="79" t="e">
        <f t="shared" si="16"/>
        <v>#DIV/0!</v>
      </c>
      <c r="Q31" s="81" t="e">
        <f t="shared" si="17"/>
        <v>#DIV/0!</v>
      </c>
      <c r="R31" s="78" t="e">
        <f t="shared" si="8"/>
        <v>#DIV/0!</v>
      </c>
      <c r="S31" s="77" t="e">
        <f t="shared" si="18"/>
        <v>#DIV/0!</v>
      </c>
      <c r="T31" s="79" t="e">
        <f t="shared" si="19"/>
        <v>#DIV/0!</v>
      </c>
    </row>
    <row r="32" spans="1:20">
      <c r="A32" s="40" t="s">
        <v>21</v>
      </c>
      <c r="B32" s="176">
        <f>'1.Reel GSYH '!B30</f>
        <v>0</v>
      </c>
      <c r="C32" s="83"/>
      <c r="D32" s="175">
        <f>'1.Reel GSYH '!Q30</f>
        <v>0</v>
      </c>
      <c r="E32" s="72">
        <f>'1.Reel GSYH '!R30</f>
        <v>0</v>
      </c>
      <c r="F32" s="176">
        <f>'1.Reel GSYH '!S30</f>
        <v>0</v>
      </c>
      <c r="H32" s="81" t="e">
        <f t="shared" si="11"/>
        <v>#DIV/0!</v>
      </c>
      <c r="I32" s="78" t="e">
        <f t="shared" si="2"/>
        <v>#DIV/0!</v>
      </c>
      <c r="J32" s="79" t="e">
        <f t="shared" si="12"/>
        <v>#DIV/0!</v>
      </c>
      <c r="K32" s="182"/>
      <c r="L32" s="77" t="e">
        <f t="shared" si="13"/>
        <v>#DIV/0!</v>
      </c>
      <c r="M32" s="77" t="e">
        <f t="shared" si="14"/>
        <v>#DIV/0!</v>
      </c>
      <c r="N32" s="77" t="e">
        <f t="shared" si="15"/>
        <v>#DIV/0!</v>
      </c>
      <c r="O32" s="79" t="e">
        <f t="shared" si="16"/>
        <v>#DIV/0!</v>
      </c>
      <c r="Q32" s="81" t="e">
        <f t="shared" si="17"/>
        <v>#DIV/0!</v>
      </c>
      <c r="R32" s="78" t="e">
        <f t="shared" si="8"/>
        <v>#DIV/0!</v>
      </c>
      <c r="S32" s="77" t="e">
        <f t="shared" si="18"/>
        <v>#DIV/0!</v>
      </c>
      <c r="T32" s="79" t="e">
        <f t="shared" si="19"/>
        <v>#DIV/0!</v>
      </c>
    </row>
    <row r="33" spans="1:20">
      <c r="A33" s="40" t="s">
        <v>22</v>
      </c>
      <c r="B33" s="176">
        <f>'1.Reel GSYH '!B31</f>
        <v>0</v>
      </c>
      <c r="C33" s="83"/>
      <c r="D33" s="175">
        <f>'1.Reel GSYH '!Q31</f>
        <v>0</v>
      </c>
      <c r="E33" s="72">
        <f>'1.Reel GSYH '!R31</f>
        <v>0</v>
      </c>
      <c r="F33" s="176">
        <f>'1.Reel GSYH '!S31</f>
        <v>0</v>
      </c>
      <c r="H33" s="81" t="e">
        <f t="shared" si="11"/>
        <v>#DIV/0!</v>
      </c>
      <c r="I33" s="78" t="e">
        <f t="shared" si="2"/>
        <v>#DIV/0!</v>
      </c>
      <c r="J33" s="79" t="e">
        <f t="shared" si="12"/>
        <v>#DIV/0!</v>
      </c>
      <c r="K33" s="182"/>
      <c r="L33" s="77" t="e">
        <f t="shared" si="13"/>
        <v>#DIV/0!</v>
      </c>
      <c r="M33" s="77" t="e">
        <f t="shared" si="14"/>
        <v>#DIV/0!</v>
      </c>
      <c r="N33" s="77" t="e">
        <f t="shared" si="15"/>
        <v>#DIV/0!</v>
      </c>
      <c r="O33" s="79" t="e">
        <f t="shared" si="16"/>
        <v>#DIV/0!</v>
      </c>
      <c r="Q33" s="81" t="e">
        <f t="shared" si="17"/>
        <v>#DIV/0!</v>
      </c>
      <c r="R33" s="78" t="e">
        <f t="shared" si="8"/>
        <v>#DIV/0!</v>
      </c>
      <c r="S33" s="77" t="e">
        <f t="shared" si="18"/>
        <v>#DIV/0!</v>
      </c>
      <c r="T33" s="79" t="e">
        <f t="shared" si="19"/>
        <v>#DIV/0!</v>
      </c>
    </row>
    <row r="34" spans="1:20">
      <c r="A34" s="40" t="s">
        <v>23</v>
      </c>
      <c r="B34" s="176">
        <f>'1.Reel GSYH '!B32</f>
        <v>0</v>
      </c>
      <c r="C34" s="83"/>
      <c r="D34" s="175">
        <f>'1.Reel GSYH '!Q32</f>
        <v>0</v>
      </c>
      <c r="E34" s="72">
        <f>'1.Reel GSYH '!R32</f>
        <v>0</v>
      </c>
      <c r="F34" s="176">
        <f>'1.Reel GSYH '!S32</f>
        <v>0</v>
      </c>
      <c r="H34" s="81" t="e">
        <f t="shared" si="11"/>
        <v>#DIV/0!</v>
      </c>
      <c r="I34" s="78" t="e">
        <f t="shared" si="2"/>
        <v>#DIV/0!</v>
      </c>
      <c r="J34" s="79" t="e">
        <f t="shared" si="12"/>
        <v>#DIV/0!</v>
      </c>
      <c r="K34" s="182"/>
      <c r="L34" s="77" t="e">
        <f t="shared" si="13"/>
        <v>#DIV/0!</v>
      </c>
      <c r="M34" s="77" t="e">
        <f t="shared" si="14"/>
        <v>#DIV/0!</v>
      </c>
      <c r="N34" s="77" t="e">
        <f t="shared" si="15"/>
        <v>#DIV/0!</v>
      </c>
      <c r="O34" s="79" t="e">
        <f t="shared" si="16"/>
        <v>#DIV/0!</v>
      </c>
      <c r="Q34" s="81" t="e">
        <f t="shared" si="17"/>
        <v>#DIV/0!</v>
      </c>
      <c r="R34" s="78" t="e">
        <f t="shared" si="8"/>
        <v>#DIV/0!</v>
      </c>
      <c r="S34" s="77" t="e">
        <f t="shared" si="18"/>
        <v>#DIV/0!</v>
      </c>
      <c r="T34" s="79" t="e">
        <f t="shared" si="19"/>
        <v>#DIV/0!</v>
      </c>
    </row>
    <row r="35" spans="1:20">
      <c r="A35" s="40" t="s">
        <v>24</v>
      </c>
      <c r="B35" s="176">
        <f>'1.Reel GSYH '!B33</f>
        <v>0</v>
      </c>
      <c r="C35" s="83"/>
      <c r="D35" s="175">
        <f>'1.Reel GSYH '!Q33</f>
        <v>0</v>
      </c>
      <c r="E35" s="72">
        <f>'1.Reel GSYH '!R33</f>
        <v>0</v>
      </c>
      <c r="F35" s="176">
        <f>'1.Reel GSYH '!S33</f>
        <v>0</v>
      </c>
      <c r="H35" s="81" t="e">
        <f t="shared" si="11"/>
        <v>#DIV/0!</v>
      </c>
      <c r="I35" s="78" t="e">
        <f t="shared" si="2"/>
        <v>#DIV/0!</v>
      </c>
      <c r="J35" s="79" t="e">
        <f t="shared" si="12"/>
        <v>#DIV/0!</v>
      </c>
      <c r="K35" s="182"/>
      <c r="L35" s="77" t="e">
        <f t="shared" si="13"/>
        <v>#DIV/0!</v>
      </c>
      <c r="M35" s="77" t="e">
        <f t="shared" si="14"/>
        <v>#DIV/0!</v>
      </c>
      <c r="N35" s="77" t="e">
        <f t="shared" si="15"/>
        <v>#DIV/0!</v>
      </c>
      <c r="O35" s="79" t="e">
        <f t="shared" si="16"/>
        <v>#DIV/0!</v>
      </c>
      <c r="Q35" s="81" t="e">
        <f t="shared" si="17"/>
        <v>#DIV/0!</v>
      </c>
      <c r="R35" s="78" t="e">
        <f t="shared" si="8"/>
        <v>#DIV/0!</v>
      </c>
      <c r="S35" s="77" t="e">
        <f t="shared" si="18"/>
        <v>#DIV/0!</v>
      </c>
      <c r="T35" s="79" t="e">
        <f t="shared" si="19"/>
        <v>#DIV/0!</v>
      </c>
    </row>
    <row r="36" spans="1:20">
      <c r="A36" s="40" t="s">
        <v>25</v>
      </c>
      <c r="B36" s="176">
        <f>'1.Reel GSYH '!B34</f>
        <v>0</v>
      </c>
      <c r="C36" s="83"/>
      <c r="D36" s="175">
        <f>'1.Reel GSYH '!Q34</f>
        <v>0</v>
      </c>
      <c r="E36" s="72">
        <f>'1.Reel GSYH '!R34</f>
        <v>0</v>
      </c>
      <c r="F36" s="176">
        <f>'1.Reel GSYH '!S34</f>
        <v>0</v>
      </c>
      <c r="H36" s="81" t="e">
        <f t="shared" si="11"/>
        <v>#DIV/0!</v>
      </c>
      <c r="I36" s="78" t="e">
        <f t="shared" si="2"/>
        <v>#DIV/0!</v>
      </c>
      <c r="J36" s="79" t="e">
        <f t="shared" si="12"/>
        <v>#DIV/0!</v>
      </c>
      <c r="K36" s="182"/>
      <c r="L36" s="77" t="e">
        <f t="shared" si="13"/>
        <v>#DIV/0!</v>
      </c>
      <c r="M36" s="77" t="e">
        <f t="shared" si="14"/>
        <v>#DIV/0!</v>
      </c>
      <c r="N36" s="77" t="e">
        <f t="shared" si="15"/>
        <v>#DIV/0!</v>
      </c>
      <c r="O36" s="79" t="e">
        <f t="shared" si="16"/>
        <v>#DIV/0!</v>
      </c>
      <c r="Q36" s="81" t="e">
        <f t="shared" si="17"/>
        <v>#DIV/0!</v>
      </c>
      <c r="R36" s="78" t="e">
        <f t="shared" si="8"/>
        <v>#DIV/0!</v>
      </c>
      <c r="S36" s="77" t="e">
        <f t="shared" si="18"/>
        <v>#DIV/0!</v>
      </c>
      <c r="T36" s="79" t="e">
        <f t="shared" si="19"/>
        <v>#DIV/0!</v>
      </c>
    </row>
    <row r="37" spans="1:20">
      <c r="A37" s="40" t="s">
        <v>26</v>
      </c>
      <c r="B37" s="176">
        <f>'1.Reel GSYH '!B35</f>
        <v>0</v>
      </c>
      <c r="C37" s="83"/>
      <c r="D37" s="175">
        <f>'1.Reel GSYH '!Q35</f>
        <v>0</v>
      </c>
      <c r="E37" s="72">
        <f>'1.Reel GSYH '!R35</f>
        <v>0</v>
      </c>
      <c r="F37" s="176">
        <f>'1.Reel GSYH '!S35</f>
        <v>0</v>
      </c>
      <c r="H37" s="81" t="e">
        <f t="shared" si="11"/>
        <v>#DIV/0!</v>
      </c>
      <c r="I37" s="78" t="e">
        <f t="shared" si="2"/>
        <v>#DIV/0!</v>
      </c>
      <c r="J37" s="79" t="e">
        <f t="shared" si="12"/>
        <v>#DIV/0!</v>
      </c>
      <c r="K37" s="182"/>
      <c r="L37" s="77" t="e">
        <f t="shared" si="13"/>
        <v>#DIV/0!</v>
      </c>
      <c r="M37" s="77" t="e">
        <f t="shared" si="14"/>
        <v>#DIV/0!</v>
      </c>
      <c r="N37" s="77" t="e">
        <f t="shared" si="15"/>
        <v>#DIV/0!</v>
      </c>
      <c r="O37" s="79" t="e">
        <f t="shared" si="16"/>
        <v>#DIV/0!</v>
      </c>
      <c r="Q37" s="81" t="e">
        <f t="shared" si="17"/>
        <v>#DIV/0!</v>
      </c>
      <c r="R37" s="78" t="e">
        <f t="shared" si="8"/>
        <v>#DIV/0!</v>
      </c>
      <c r="S37" s="77" t="e">
        <f t="shared" si="18"/>
        <v>#DIV/0!</v>
      </c>
      <c r="T37" s="79" t="e">
        <f t="shared" si="19"/>
        <v>#DIV/0!</v>
      </c>
    </row>
    <row r="38" spans="1:20">
      <c r="A38" s="40" t="s">
        <v>27</v>
      </c>
      <c r="B38" s="176">
        <f>'1.Reel GSYH '!B36</f>
        <v>0</v>
      </c>
      <c r="C38" s="83"/>
      <c r="D38" s="175">
        <f>'1.Reel GSYH '!Q36</f>
        <v>0</v>
      </c>
      <c r="E38" s="72">
        <f>'1.Reel GSYH '!R36</f>
        <v>0</v>
      </c>
      <c r="F38" s="176">
        <f>'1.Reel GSYH '!S36</f>
        <v>0</v>
      </c>
      <c r="H38" s="81" t="e">
        <f t="shared" si="11"/>
        <v>#DIV/0!</v>
      </c>
      <c r="I38" s="78" t="e">
        <f t="shared" si="2"/>
        <v>#DIV/0!</v>
      </c>
      <c r="J38" s="79" t="e">
        <f t="shared" si="12"/>
        <v>#DIV/0!</v>
      </c>
      <c r="K38" s="182"/>
      <c r="L38" s="77" t="e">
        <f t="shared" si="13"/>
        <v>#DIV/0!</v>
      </c>
      <c r="M38" s="77" t="e">
        <f t="shared" si="14"/>
        <v>#DIV/0!</v>
      </c>
      <c r="N38" s="77" t="e">
        <f t="shared" si="15"/>
        <v>#DIV/0!</v>
      </c>
      <c r="O38" s="79" t="e">
        <f t="shared" si="16"/>
        <v>#DIV/0!</v>
      </c>
      <c r="Q38" s="81" t="e">
        <f t="shared" si="17"/>
        <v>#DIV/0!</v>
      </c>
      <c r="R38" s="78" t="e">
        <f t="shared" si="8"/>
        <v>#DIV/0!</v>
      </c>
      <c r="S38" s="77" t="e">
        <f t="shared" si="18"/>
        <v>#DIV/0!</v>
      </c>
      <c r="T38" s="79" t="e">
        <f t="shared" si="19"/>
        <v>#DIV/0!</v>
      </c>
    </row>
    <row r="39" spans="1:20">
      <c r="A39" s="40" t="s">
        <v>28</v>
      </c>
      <c r="B39" s="176">
        <f>'1.Reel GSYH '!B37</f>
        <v>0</v>
      </c>
      <c r="C39" s="83"/>
      <c r="D39" s="175">
        <f>'1.Reel GSYH '!Q37</f>
        <v>0</v>
      </c>
      <c r="E39" s="72">
        <f>'1.Reel GSYH '!R37</f>
        <v>0</v>
      </c>
      <c r="F39" s="176">
        <f>'1.Reel GSYH '!S37</f>
        <v>0</v>
      </c>
      <c r="H39" s="81" t="e">
        <f t="shared" si="11"/>
        <v>#DIV/0!</v>
      </c>
      <c r="I39" s="78" t="e">
        <f t="shared" si="2"/>
        <v>#DIV/0!</v>
      </c>
      <c r="J39" s="79" t="e">
        <f t="shared" si="12"/>
        <v>#DIV/0!</v>
      </c>
      <c r="K39" s="182"/>
      <c r="L39" s="77" t="e">
        <f t="shared" si="13"/>
        <v>#DIV/0!</v>
      </c>
      <c r="M39" s="77" t="e">
        <f t="shared" si="14"/>
        <v>#DIV/0!</v>
      </c>
      <c r="N39" s="77" t="e">
        <f t="shared" si="15"/>
        <v>#DIV/0!</v>
      </c>
      <c r="O39" s="79" t="e">
        <f t="shared" si="16"/>
        <v>#DIV/0!</v>
      </c>
      <c r="Q39" s="81" t="e">
        <f t="shared" si="17"/>
        <v>#DIV/0!</v>
      </c>
      <c r="R39" s="78" t="e">
        <f t="shared" si="8"/>
        <v>#DIV/0!</v>
      </c>
      <c r="S39" s="77" t="e">
        <f t="shared" si="18"/>
        <v>#DIV/0!</v>
      </c>
      <c r="T39" s="79" t="e">
        <f t="shared" si="19"/>
        <v>#DIV/0!</v>
      </c>
    </row>
    <row r="40" spans="1:20">
      <c r="A40" s="40" t="s">
        <v>29</v>
      </c>
      <c r="B40" s="176">
        <f>'1.Reel GSYH '!B38</f>
        <v>0</v>
      </c>
      <c r="C40" s="83"/>
      <c r="D40" s="175">
        <f>'1.Reel GSYH '!Q38</f>
        <v>0</v>
      </c>
      <c r="E40" s="72">
        <f>'1.Reel GSYH '!R38</f>
        <v>0</v>
      </c>
      <c r="F40" s="176">
        <f>'1.Reel GSYH '!S38</f>
        <v>0</v>
      </c>
      <c r="H40" s="81" t="e">
        <f t="shared" si="11"/>
        <v>#DIV/0!</v>
      </c>
      <c r="I40" s="78" t="e">
        <f t="shared" si="2"/>
        <v>#DIV/0!</v>
      </c>
      <c r="J40" s="79" t="e">
        <f t="shared" si="12"/>
        <v>#DIV/0!</v>
      </c>
      <c r="K40" s="182"/>
      <c r="L40" s="77" t="e">
        <f t="shared" si="13"/>
        <v>#DIV/0!</v>
      </c>
      <c r="M40" s="77" t="e">
        <f t="shared" si="14"/>
        <v>#DIV/0!</v>
      </c>
      <c r="N40" s="77" t="e">
        <f t="shared" si="15"/>
        <v>#DIV/0!</v>
      </c>
      <c r="O40" s="79" t="e">
        <f t="shared" si="16"/>
        <v>#DIV/0!</v>
      </c>
      <c r="Q40" s="81" t="e">
        <f t="shared" si="17"/>
        <v>#DIV/0!</v>
      </c>
      <c r="R40" s="78" t="e">
        <f t="shared" si="8"/>
        <v>#DIV/0!</v>
      </c>
      <c r="S40" s="77" t="e">
        <f t="shared" si="18"/>
        <v>#DIV/0!</v>
      </c>
      <c r="T40" s="79" t="e">
        <f t="shared" si="19"/>
        <v>#DIV/0!</v>
      </c>
    </row>
    <row r="41" spans="1:20">
      <c r="A41" s="40" t="s">
        <v>30</v>
      </c>
      <c r="B41" s="176">
        <f>'1.Reel GSYH '!B39</f>
        <v>0</v>
      </c>
      <c r="C41" s="83"/>
      <c r="D41" s="175">
        <f>'1.Reel GSYH '!Q39</f>
        <v>0</v>
      </c>
      <c r="E41" s="72">
        <f>'1.Reel GSYH '!R39</f>
        <v>0</v>
      </c>
      <c r="F41" s="176">
        <f>'1.Reel GSYH '!S39</f>
        <v>0</v>
      </c>
      <c r="H41" s="81" t="e">
        <f t="shared" si="11"/>
        <v>#DIV/0!</v>
      </c>
      <c r="I41" s="78" t="e">
        <f t="shared" si="2"/>
        <v>#DIV/0!</v>
      </c>
      <c r="J41" s="79" t="e">
        <f t="shared" si="12"/>
        <v>#DIV/0!</v>
      </c>
      <c r="K41" s="182"/>
      <c r="L41" s="77" t="e">
        <f t="shared" si="13"/>
        <v>#DIV/0!</v>
      </c>
      <c r="M41" s="77" t="e">
        <f t="shared" si="14"/>
        <v>#DIV/0!</v>
      </c>
      <c r="N41" s="77" t="e">
        <f t="shared" si="15"/>
        <v>#DIV/0!</v>
      </c>
      <c r="O41" s="79" t="e">
        <f t="shared" si="16"/>
        <v>#DIV/0!</v>
      </c>
      <c r="Q41" s="81" t="e">
        <f t="shared" si="17"/>
        <v>#DIV/0!</v>
      </c>
      <c r="R41" s="78" t="e">
        <f t="shared" si="8"/>
        <v>#DIV/0!</v>
      </c>
      <c r="S41" s="77" t="e">
        <f t="shared" si="18"/>
        <v>#DIV/0!</v>
      </c>
      <c r="T41" s="79" t="e">
        <f t="shared" si="19"/>
        <v>#DIV/0!</v>
      </c>
    </row>
    <row r="42" spans="1:20">
      <c r="A42" s="40" t="s">
        <v>31</v>
      </c>
      <c r="B42" s="176">
        <f>'1.Reel GSYH '!B40</f>
        <v>0</v>
      </c>
      <c r="C42" s="83"/>
      <c r="D42" s="175">
        <f>'1.Reel GSYH '!Q40</f>
        <v>0</v>
      </c>
      <c r="E42" s="72">
        <f>'1.Reel GSYH '!R40</f>
        <v>0</v>
      </c>
      <c r="F42" s="176">
        <f>'1.Reel GSYH '!S40</f>
        <v>0</v>
      </c>
      <c r="H42" s="81" t="e">
        <f t="shared" si="11"/>
        <v>#DIV/0!</v>
      </c>
      <c r="I42" s="78" t="e">
        <f t="shared" si="2"/>
        <v>#DIV/0!</v>
      </c>
      <c r="J42" s="79" t="e">
        <f t="shared" si="12"/>
        <v>#DIV/0!</v>
      </c>
      <c r="K42" s="182"/>
      <c r="L42" s="77" t="e">
        <f t="shared" si="13"/>
        <v>#DIV/0!</v>
      </c>
      <c r="M42" s="77" t="e">
        <f t="shared" si="14"/>
        <v>#DIV/0!</v>
      </c>
      <c r="N42" s="77" t="e">
        <f t="shared" si="15"/>
        <v>#DIV/0!</v>
      </c>
      <c r="O42" s="79" t="e">
        <f t="shared" si="16"/>
        <v>#DIV/0!</v>
      </c>
      <c r="Q42" s="81" t="e">
        <f t="shared" si="17"/>
        <v>#DIV/0!</v>
      </c>
      <c r="R42" s="78" t="e">
        <f t="shared" si="8"/>
        <v>#DIV/0!</v>
      </c>
      <c r="S42" s="77" t="e">
        <f t="shared" si="18"/>
        <v>#DIV/0!</v>
      </c>
      <c r="T42" s="79" t="e">
        <f t="shared" si="19"/>
        <v>#DIV/0!</v>
      </c>
    </row>
    <row r="43" spans="1:20">
      <c r="A43" s="40" t="s">
        <v>32</v>
      </c>
      <c r="B43" s="176">
        <f>'1.Reel GSYH '!B41</f>
        <v>0</v>
      </c>
      <c r="C43" s="83"/>
      <c r="D43" s="175">
        <f>'1.Reel GSYH '!Q41</f>
        <v>0</v>
      </c>
      <c r="E43" s="72">
        <f>'1.Reel GSYH '!R41</f>
        <v>0</v>
      </c>
      <c r="F43" s="176">
        <f>'1.Reel GSYH '!S41</f>
        <v>0</v>
      </c>
      <c r="H43" s="81" t="e">
        <f t="shared" si="11"/>
        <v>#DIV/0!</v>
      </c>
      <c r="I43" s="78" t="e">
        <f t="shared" si="2"/>
        <v>#DIV/0!</v>
      </c>
      <c r="J43" s="79" t="e">
        <f t="shared" si="12"/>
        <v>#DIV/0!</v>
      </c>
      <c r="K43" s="182"/>
      <c r="L43" s="77" t="e">
        <f t="shared" si="13"/>
        <v>#DIV/0!</v>
      </c>
      <c r="M43" s="77" t="e">
        <f t="shared" si="14"/>
        <v>#DIV/0!</v>
      </c>
      <c r="N43" s="77" t="e">
        <f t="shared" si="15"/>
        <v>#DIV/0!</v>
      </c>
      <c r="O43" s="79" t="e">
        <f t="shared" si="16"/>
        <v>#DIV/0!</v>
      </c>
      <c r="Q43" s="81" t="e">
        <f t="shared" si="17"/>
        <v>#DIV/0!</v>
      </c>
      <c r="R43" s="78" t="e">
        <f t="shared" si="8"/>
        <v>#DIV/0!</v>
      </c>
      <c r="S43" s="77" t="e">
        <f t="shared" si="18"/>
        <v>#DIV/0!</v>
      </c>
      <c r="T43" s="79" t="e">
        <f t="shared" si="19"/>
        <v>#DIV/0!</v>
      </c>
    </row>
    <row r="44" spans="1:20">
      <c r="A44" s="40" t="s">
        <v>33</v>
      </c>
      <c r="B44" s="176">
        <f>'1.Reel GSYH '!B42</f>
        <v>0</v>
      </c>
      <c r="C44" s="83"/>
      <c r="D44" s="175">
        <f>'1.Reel GSYH '!Q42</f>
        <v>0</v>
      </c>
      <c r="E44" s="72">
        <f>'1.Reel GSYH '!R42</f>
        <v>0</v>
      </c>
      <c r="F44" s="176">
        <f>'1.Reel GSYH '!S42</f>
        <v>0</v>
      </c>
      <c r="H44" s="81" t="e">
        <f t="shared" si="11"/>
        <v>#DIV/0!</v>
      </c>
      <c r="I44" s="78" t="e">
        <f t="shared" si="2"/>
        <v>#DIV/0!</v>
      </c>
      <c r="J44" s="79" t="e">
        <f t="shared" si="12"/>
        <v>#DIV/0!</v>
      </c>
      <c r="K44" s="182"/>
      <c r="L44" s="77" t="e">
        <f t="shared" si="13"/>
        <v>#DIV/0!</v>
      </c>
      <c r="M44" s="77" t="e">
        <f t="shared" si="14"/>
        <v>#DIV/0!</v>
      </c>
      <c r="N44" s="77" t="e">
        <f t="shared" si="15"/>
        <v>#DIV/0!</v>
      </c>
      <c r="O44" s="79" t="e">
        <f t="shared" si="16"/>
        <v>#DIV/0!</v>
      </c>
      <c r="Q44" s="81" t="e">
        <f t="shared" si="17"/>
        <v>#DIV/0!</v>
      </c>
      <c r="R44" s="78" t="e">
        <f t="shared" si="8"/>
        <v>#DIV/0!</v>
      </c>
      <c r="S44" s="77" t="e">
        <f t="shared" si="18"/>
        <v>#DIV/0!</v>
      </c>
      <c r="T44" s="79" t="e">
        <f t="shared" si="19"/>
        <v>#DIV/0!</v>
      </c>
    </row>
    <row r="45" spans="1:20">
      <c r="A45" s="40" t="s">
        <v>34</v>
      </c>
      <c r="B45" s="176">
        <f>'1.Reel GSYH '!B43</f>
        <v>0</v>
      </c>
      <c r="C45" s="83"/>
      <c r="D45" s="175">
        <f>'1.Reel GSYH '!Q43</f>
        <v>0</v>
      </c>
      <c r="E45" s="72">
        <f>'1.Reel GSYH '!R43</f>
        <v>0</v>
      </c>
      <c r="F45" s="176">
        <f>'1.Reel GSYH '!S43</f>
        <v>0</v>
      </c>
      <c r="H45" s="81" t="e">
        <f t="shared" si="11"/>
        <v>#DIV/0!</v>
      </c>
      <c r="I45" s="78" t="e">
        <f t="shared" si="2"/>
        <v>#DIV/0!</v>
      </c>
      <c r="J45" s="79" t="e">
        <f t="shared" si="12"/>
        <v>#DIV/0!</v>
      </c>
      <c r="K45" s="182"/>
      <c r="L45" s="77" t="e">
        <f t="shared" si="13"/>
        <v>#DIV/0!</v>
      </c>
      <c r="M45" s="77" t="e">
        <f t="shared" si="14"/>
        <v>#DIV/0!</v>
      </c>
      <c r="N45" s="77" t="e">
        <f t="shared" si="15"/>
        <v>#DIV/0!</v>
      </c>
      <c r="O45" s="79" t="e">
        <f t="shared" si="16"/>
        <v>#DIV/0!</v>
      </c>
      <c r="Q45" s="81" t="e">
        <f t="shared" si="17"/>
        <v>#DIV/0!</v>
      </c>
      <c r="R45" s="78" t="e">
        <f t="shared" si="8"/>
        <v>#DIV/0!</v>
      </c>
      <c r="S45" s="77" t="e">
        <f t="shared" si="18"/>
        <v>#DIV/0!</v>
      </c>
      <c r="T45" s="79" t="e">
        <f t="shared" si="19"/>
        <v>#DIV/0!</v>
      </c>
    </row>
    <row r="46" spans="1:20">
      <c r="A46" s="40" t="s">
        <v>35</v>
      </c>
      <c r="B46" s="176">
        <f>'1.Reel GSYH '!B44</f>
        <v>0</v>
      </c>
      <c r="C46" s="83"/>
      <c r="D46" s="175">
        <f>'1.Reel GSYH '!Q44</f>
        <v>0</v>
      </c>
      <c r="E46" s="72">
        <f>'1.Reel GSYH '!R44</f>
        <v>0</v>
      </c>
      <c r="F46" s="176">
        <f>'1.Reel GSYH '!S44</f>
        <v>0</v>
      </c>
      <c r="H46" s="81" t="e">
        <f t="shared" si="11"/>
        <v>#DIV/0!</v>
      </c>
      <c r="I46" s="78" t="e">
        <f t="shared" si="2"/>
        <v>#DIV/0!</v>
      </c>
      <c r="J46" s="79" t="e">
        <f t="shared" si="12"/>
        <v>#DIV/0!</v>
      </c>
      <c r="K46" s="182"/>
      <c r="L46" s="77" t="e">
        <f t="shared" si="13"/>
        <v>#DIV/0!</v>
      </c>
      <c r="M46" s="77" t="e">
        <f t="shared" si="14"/>
        <v>#DIV/0!</v>
      </c>
      <c r="N46" s="77" t="e">
        <f t="shared" si="15"/>
        <v>#DIV/0!</v>
      </c>
      <c r="O46" s="79" t="e">
        <f t="shared" si="16"/>
        <v>#DIV/0!</v>
      </c>
      <c r="Q46" s="81" t="e">
        <f t="shared" si="17"/>
        <v>#DIV/0!</v>
      </c>
      <c r="R46" s="78" t="e">
        <f t="shared" si="8"/>
        <v>#DIV/0!</v>
      </c>
      <c r="S46" s="77" t="e">
        <f t="shared" si="18"/>
        <v>#DIV/0!</v>
      </c>
      <c r="T46" s="79" t="e">
        <f t="shared" si="19"/>
        <v>#DIV/0!</v>
      </c>
    </row>
    <row r="47" spans="1:20">
      <c r="A47" s="40" t="s">
        <v>36</v>
      </c>
      <c r="B47" s="176">
        <f>'1.Reel GSYH '!B45</f>
        <v>0</v>
      </c>
      <c r="C47" s="83"/>
      <c r="D47" s="175">
        <f>'1.Reel GSYH '!Q45</f>
        <v>0</v>
      </c>
      <c r="E47" s="72">
        <f>'1.Reel GSYH '!R45</f>
        <v>0</v>
      </c>
      <c r="F47" s="176">
        <f>'1.Reel GSYH '!S45</f>
        <v>0</v>
      </c>
      <c r="H47" s="81" t="e">
        <f t="shared" si="11"/>
        <v>#DIV/0!</v>
      </c>
      <c r="I47" s="78" t="e">
        <f t="shared" si="2"/>
        <v>#DIV/0!</v>
      </c>
      <c r="J47" s="79" t="e">
        <f t="shared" si="12"/>
        <v>#DIV/0!</v>
      </c>
      <c r="K47" s="182"/>
      <c r="L47" s="77" t="e">
        <f t="shared" si="13"/>
        <v>#DIV/0!</v>
      </c>
      <c r="M47" s="77" t="e">
        <f t="shared" si="14"/>
        <v>#DIV/0!</v>
      </c>
      <c r="N47" s="77" t="e">
        <f t="shared" si="15"/>
        <v>#DIV/0!</v>
      </c>
      <c r="O47" s="79" t="e">
        <f t="shared" si="16"/>
        <v>#DIV/0!</v>
      </c>
      <c r="Q47" s="81" t="e">
        <f t="shared" si="17"/>
        <v>#DIV/0!</v>
      </c>
      <c r="R47" s="78" t="e">
        <f t="shared" si="8"/>
        <v>#DIV/0!</v>
      </c>
      <c r="S47" s="77" t="e">
        <f t="shared" si="18"/>
        <v>#DIV/0!</v>
      </c>
      <c r="T47" s="79" t="e">
        <f t="shared" si="19"/>
        <v>#DIV/0!</v>
      </c>
    </row>
    <row r="48" spans="1:20">
      <c r="A48" s="40" t="s">
        <v>37</v>
      </c>
      <c r="B48" s="176">
        <f>'1.Reel GSYH '!B46</f>
        <v>0</v>
      </c>
      <c r="C48" s="83"/>
      <c r="D48" s="175">
        <f>'1.Reel GSYH '!Q46</f>
        <v>0</v>
      </c>
      <c r="E48" s="72">
        <f>'1.Reel GSYH '!R46</f>
        <v>0</v>
      </c>
      <c r="F48" s="176">
        <f>'1.Reel GSYH '!S46</f>
        <v>0</v>
      </c>
      <c r="H48" s="81" t="e">
        <f t="shared" si="11"/>
        <v>#DIV/0!</v>
      </c>
      <c r="I48" s="78" t="e">
        <f t="shared" si="2"/>
        <v>#DIV/0!</v>
      </c>
      <c r="J48" s="79" t="e">
        <f t="shared" si="12"/>
        <v>#DIV/0!</v>
      </c>
      <c r="K48" s="182"/>
      <c r="L48" s="77" t="e">
        <f t="shared" si="13"/>
        <v>#DIV/0!</v>
      </c>
      <c r="M48" s="77" t="e">
        <f t="shared" si="14"/>
        <v>#DIV/0!</v>
      </c>
      <c r="N48" s="77" t="e">
        <f t="shared" si="15"/>
        <v>#DIV/0!</v>
      </c>
      <c r="O48" s="79" t="e">
        <f t="shared" si="16"/>
        <v>#DIV/0!</v>
      </c>
      <c r="Q48" s="81" t="e">
        <f t="shared" si="17"/>
        <v>#DIV/0!</v>
      </c>
      <c r="R48" s="78" t="e">
        <f t="shared" si="8"/>
        <v>#DIV/0!</v>
      </c>
      <c r="S48" s="77" t="e">
        <f t="shared" si="18"/>
        <v>#DIV/0!</v>
      </c>
      <c r="T48" s="79" t="e">
        <f t="shared" si="19"/>
        <v>#DIV/0!</v>
      </c>
    </row>
    <row r="49" spans="1:20">
      <c r="A49" s="40" t="s">
        <v>38</v>
      </c>
      <c r="B49" s="176">
        <f>'1.Reel GSYH '!B47</f>
        <v>0</v>
      </c>
      <c r="C49" s="83"/>
      <c r="D49" s="175">
        <f>'1.Reel GSYH '!Q47</f>
        <v>0</v>
      </c>
      <c r="E49" s="72">
        <f>'1.Reel GSYH '!R47</f>
        <v>0</v>
      </c>
      <c r="F49" s="176">
        <f>'1.Reel GSYH '!S47</f>
        <v>0</v>
      </c>
      <c r="H49" s="81" t="e">
        <f t="shared" si="11"/>
        <v>#DIV/0!</v>
      </c>
      <c r="I49" s="78" t="e">
        <f t="shared" si="2"/>
        <v>#DIV/0!</v>
      </c>
      <c r="J49" s="79" t="e">
        <f t="shared" si="12"/>
        <v>#DIV/0!</v>
      </c>
      <c r="K49" s="182"/>
      <c r="L49" s="77" t="e">
        <f t="shared" si="13"/>
        <v>#DIV/0!</v>
      </c>
      <c r="M49" s="77" t="e">
        <f t="shared" si="14"/>
        <v>#DIV/0!</v>
      </c>
      <c r="N49" s="77" t="e">
        <f t="shared" si="15"/>
        <v>#DIV/0!</v>
      </c>
      <c r="O49" s="79" t="e">
        <f t="shared" si="16"/>
        <v>#DIV/0!</v>
      </c>
      <c r="Q49" s="81" t="e">
        <f t="shared" si="17"/>
        <v>#DIV/0!</v>
      </c>
      <c r="R49" s="78" t="e">
        <f t="shared" si="8"/>
        <v>#DIV/0!</v>
      </c>
      <c r="S49" s="77" t="e">
        <f t="shared" si="18"/>
        <v>#DIV/0!</v>
      </c>
      <c r="T49" s="79" t="e">
        <f t="shared" si="19"/>
        <v>#DIV/0!</v>
      </c>
    </row>
    <row r="50" spans="1:20">
      <c r="A50" s="40" t="s">
        <v>39</v>
      </c>
      <c r="B50" s="176">
        <f>'1.Reel GSYH '!B48</f>
        <v>0</v>
      </c>
      <c r="C50" s="83"/>
      <c r="D50" s="175">
        <f>'1.Reel GSYH '!Q48</f>
        <v>0</v>
      </c>
      <c r="E50" s="72">
        <f>'1.Reel GSYH '!R48</f>
        <v>0</v>
      </c>
      <c r="F50" s="176">
        <f>'1.Reel GSYH '!S48</f>
        <v>0</v>
      </c>
      <c r="H50" s="81" t="e">
        <f t="shared" si="11"/>
        <v>#DIV/0!</v>
      </c>
      <c r="I50" s="78" t="e">
        <f t="shared" si="2"/>
        <v>#DIV/0!</v>
      </c>
      <c r="J50" s="79" t="e">
        <f t="shared" si="12"/>
        <v>#DIV/0!</v>
      </c>
      <c r="K50" s="182"/>
      <c r="L50" s="77" t="e">
        <f t="shared" si="13"/>
        <v>#DIV/0!</v>
      </c>
      <c r="M50" s="77" t="e">
        <f t="shared" si="14"/>
        <v>#DIV/0!</v>
      </c>
      <c r="N50" s="77" t="e">
        <f t="shared" si="15"/>
        <v>#DIV/0!</v>
      </c>
      <c r="O50" s="79" t="e">
        <f t="shared" si="16"/>
        <v>#DIV/0!</v>
      </c>
      <c r="Q50" s="81" t="e">
        <f t="shared" si="17"/>
        <v>#DIV/0!</v>
      </c>
      <c r="R50" s="78" t="e">
        <f t="shared" si="8"/>
        <v>#DIV/0!</v>
      </c>
      <c r="S50" s="77" t="e">
        <f t="shared" si="18"/>
        <v>#DIV/0!</v>
      </c>
      <c r="T50" s="79" t="e">
        <f t="shared" si="19"/>
        <v>#DIV/0!</v>
      </c>
    </row>
    <row r="51" spans="1:20">
      <c r="A51" s="40" t="s">
        <v>40</v>
      </c>
      <c r="B51" s="176">
        <f>'1.Reel GSYH '!B49</f>
        <v>0</v>
      </c>
      <c r="C51" s="83"/>
      <c r="D51" s="175">
        <f>'1.Reel GSYH '!Q49</f>
        <v>0</v>
      </c>
      <c r="E51" s="72">
        <f>'1.Reel GSYH '!R49</f>
        <v>0</v>
      </c>
      <c r="F51" s="176">
        <f>'1.Reel GSYH '!S49</f>
        <v>0</v>
      </c>
      <c r="H51" s="81" t="e">
        <f t="shared" si="11"/>
        <v>#DIV/0!</v>
      </c>
      <c r="I51" s="78" t="e">
        <f t="shared" si="2"/>
        <v>#DIV/0!</v>
      </c>
      <c r="J51" s="79" t="e">
        <f t="shared" si="12"/>
        <v>#DIV/0!</v>
      </c>
      <c r="K51" s="182"/>
      <c r="L51" s="77" t="e">
        <f t="shared" si="13"/>
        <v>#DIV/0!</v>
      </c>
      <c r="M51" s="77" t="e">
        <f t="shared" si="14"/>
        <v>#DIV/0!</v>
      </c>
      <c r="N51" s="77" t="e">
        <f t="shared" si="15"/>
        <v>#DIV/0!</v>
      </c>
      <c r="O51" s="79" t="e">
        <f t="shared" si="16"/>
        <v>#DIV/0!</v>
      </c>
      <c r="Q51" s="81" t="e">
        <f t="shared" si="17"/>
        <v>#DIV/0!</v>
      </c>
      <c r="R51" s="78" t="e">
        <f t="shared" si="8"/>
        <v>#DIV/0!</v>
      </c>
      <c r="S51" s="77" t="e">
        <f t="shared" si="18"/>
        <v>#DIV/0!</v>
      </c>
      <c r="T51" s="79" t="e">
        <f t="shared" si="19"/>
        <v>#DIV/0!</v>
      </c>
    </row>
    <row r="52" spans="1:20">
      <c r="A52" s="40" t="s">
        <v>41</v>
      </c>
      <c r="B52" s="176">
        <f>'1.Reel GSYH '!B50</f>
        <v>0</v>
      </c>
      <c r="C52" s="83"/>
      <c r="D52" s="175">
        <f>'1.Reel GSYH '!Q50</f>
        <v>0</v>
      </c>
      <c r="E52" s="72">
        <f>'1.Reel GSYH '!R50</f>
        <v>0</v>
      </c>
      <c r="F52" s="176">
        <f>'1.Reel GSYH '!S50</f>
        <v>0</v>
      </c>
      <c r="H52" s="81" t="e">
        <f t="shared" si="11"/>
        <v>#DIV/0!</v>
      </c>
      <c r="I52" s="78" t="e">
        <f t="shared" si="2"/>
        <v>#DIV/0!</v>
      </c>
      <c r="J52" s="79" t="e">
        <f t="shared" si="12"/>
        <v>#DIV/0!</v>
      </c>
      <c r="K52" s="182"/>
      <c r="L52" s="77" t="e">
        <f t="shared" si="13"/>
        <v>#DIV/0!</v>
      </c>
      <c r="M52" s="77" t="e">
        <f t="shared" si="14"/>
        <v>#DIV/0!</v>
      </c>
      <c r="N52" s="77" t="e">
        <f t="shared" si="15"/>
        <v>#DIV/0!</v>
      </c>
      <c r="O52" s="79" t="e">
        <f t="shared" si="16"/>
        <v>#DIV/0!</v>
      </c>
      <c r="Q52" s="81" t="e">
        <f t="shared" si="17"/>
        <v>#DIV/0!</v>
      </c>
      <c r="R52" s="78" t="e">
        <f t="shared" si="8"/>
        <v>#DIV/0!</v>
      </c>
      <c r="S52" s="77" t="e">
        <f t="shared" si="18"/>
        <v>#DIV/0!</v>
      </c>
      <c r="T52" s="79" t="e">
        <f t="shared" si="19"/>
        <v>#DIV/0!</v>
      </c>
    </row>
    <row r="53" spans="1:20">
      <c r="A53" s="40" t="s">
        <v>42</v>
      </c>
      <c r="B53" s="176">
        <f>'1.Reel GSYH '!B51</f>
        <v>0</v>
      </c>
      <c r="C53" s="83"/>
      <c r="D53" s="175">
        <f>'1.Reel GSYH '!Q51</f>
        <v>0</v>
      </c>
      <c r="E53" s="72">
        <f>'1.Reel GSYH '!R51</f>
        <v>0</v>
      </c>
      <c r="F53" s="176">
        <f>'1.Reel GSYH '!S51</f>
        <v>0</v>
      </c>
      <c r="H53" s="81" t="e">
        <f t="shared" si="11"/>
        <v>#DIV/0!</v>
      </c>
      <c r="I53" s="78" t="e">
        <f t="shared" si="2"/>
        <v>#DIV/0!</v>
      </c>
      <c r="J53" s="79" t="e">
        <f t="shared" si="12"/>
        <v>#DIV/0!</v>
      </c>
      <c r="K53" s="182"/>
      <c r="L53" s="77" t="e">
        <f t="shared" si="13"/>
        <v>#DIV/0!</v>
      </c>
      <c r="M53" s="77" t="e">
        <f t="shared" si="14"/>
        <v>#DIV/0!</v>
      </c>
      <c r="N53" s="77" t="e">
        <f t="shared" si="15"/>
        <v>#DIV/0!</v>
      </c>
      <c r="O53" s="79" t="e">
        <f t="shared" si="16"/>
        <v>#DIV/0!</v>
      </c>
      <c r="Q53" s="81" t="e">
        <f t="shared" si="17"/>
        <v>#DIV/0!</v>
      </c>
      <c r="R53" s="78" t="e">
        <f t="shared" si="8"/>
        <v>#DIV/0!</v>
      </c>
      <c r="S53" s="77" t="e">
        <f t="shared" si="18"/>
        <v>#DIV/0!</v>
      </c>
      <c r="T53" s="79" t="e">
        <f t="shared" si="19"/>
        <v>#DIV/0!</v>
      </c>
    </row>
    <row r="54" spans="1:20">
      <c r="A54" s="40" t="s">
        <v>43</v>
      </c>
      <c r="B54" s="176">
        <f>'1.Reel GSYH '!B52</f>
        <v>0</v>
      </c>
      <c r="C54" s="83"/>
      <c r="D54" s="175">
        <f>'1.Reel GSYH '!Q52</f>
        <v>0</v>
      </c>
      <c r="E54" s="72">
        <f>'1.Reel GSYH '!R52</f>
        <v>0</v>
      </c>
      <c r="F54" s="176">
        <f>'1.Reel GSYH '!S52</f>
        <v>0</v>
      </c>
      <c r="H54" s="81" t="e">
        <f t="shared" si="11"/>
        <v>#DIV/0!</v>
      </c>
      <c r="I54" s="78" t="e">
        <f t="shared" si="2"/>
        <v>#DIV/0!</v>
      </c>
      <c r="J54" s="79" t="e">
        <f t="shared" si="12"/>
        <v>#DIV/0!</v>
      </c>
      <c r="K54" s="182"/>
      <c r="L54" s="77" t="e">
        <f t="shared" si="13"/>
        <v>#DIV/0!</v>
      </c>
      <c r="M54" s="77" t="e">
        <f t="shared" si="14"/>
        <v>#DIV/0!</v>
      </c>
      <c r="N54" s="77" t="e">
        <f t="shared" si="15"/>
        <v>#DIV/0!</v>
      </c>
      <c r="O54" s="79" t="e">
        <f t="shared" si="16"/>
        <v>#DIV/0!</v>
      </c>
      <c r="Q54" s="81" t="e">
        <f t="shared" si="17"/>
        <v>#DIV/0!</v>
      </c>
      <c r="R54" s="78" t="e">
        <f t="shared" si="8"/>
        <v>#DIV/0!</v>
      </c>
      <c r="S54" s="77" t="e">
        <f t="shared" si="18"/>
        <v>#DIV/0!</v>
      </c>
      <c r="T54" s="79" t="e">
        <f t="shared" si="19"/>
        <v>#DIV/0!</v>
      </c>
    </row>
    <row r="55" spans="1:20">
      <c r="A55" s="40" t="s">
        <v>44</v>
      </c>
      <c r="B55" s="176">
        <f>'1.Reel GSYH '!B53</f>
        <v>0</v>
      </c>
      <c r="C55" s="83"/>
      <c r="D55" s="175">
        <f>'1.Reel GSYH '!Q53</f>
        <v>0</v>
      </c>
      <c r="E55" s="72">
        <f>'1.Reel GSYH '!R53</f>
        <v>0</v>
      </c>
      <c r="F55" s="176">
        <f>'1.Reel GSYH '!S53</f>
        <v>0</v>
      </c>
      <c r="H55" s="81" t="e">
        <f t="shared" si="11"/>
        <v>#DIV/0!</v>
      </c>
      <c r="I55" s="78" t="e">
        <f t="shared" si="2"/>
        <v>#DIV/0!</v>
      </c>
      <c r="J55" s="79" t="e">
        <f t="shared" si="12"/>
        <v>#DIV/0!</v>
      </c>
      <c r="K55" s="182"/>
      <c r="L55" s="77" t="e">
        <f t="shared" si="13"/>
        <v>#DIV/0!</v>
      </c>
      <c r="M55" s="77" t="e">
        <f t="shared" si="14"/>
        <v>#DIV/0!</v>
      </c>
      <c r="N55" s="77" t="e">
        <f t="shared" si="15"/>
        <v>#DIV/0!</v>
      </c>
      <c r="O55" s="79" t="e">
        <f t="shared" si="16"/>
        <v>#DIV/0!</v>
      </c>
      <c r="Q55" s="81" t="e">
        <f t="shared" si="17"/>
        <v>#DIV/0!</v>
      </c>
      <c r="R55" s="78" t="e">
        <f t="shared" si="8"/>
        <v>#DIV/0!</v>
      </c>
      <c r="S55" s="77" t="e">
        <f t="shared" si="18"/>
        <v>#DIV/0!</v>
      </c>
      <c r="T55" s="79" t="e">
        <f t="shared" si="19"/>
        <v>#DIV/0!</v>
      </c>
    </row>
    <row r="56" spans="1:20">
      <c r="A56" s="40" t="s">
        <v>45</v>
      </c>
      <c r="B56" s="176">
        <f>'1.Reel GSYH '!B54</f>
        <v>0</v>
      </c>
      <c r="C56" s="83"/>
      <c r="D56" s="175">
        <f>'1.Reel GSYH '!Q54</f>
        <v>0</v>
      </c>
      <c r="E56" s="72">
        <f>'1.Reel GSYH '!R54</f>
        <v>0</v>
      </c>
      <c r="F56" s="176">
        <f>'1.Reel GSYH '!S54</f>
        <v>0</v>
      </c>
      <c r="H56" s="81" t="e">
        <f t="shared" si="11"/>
        <v>#DIV/0!</v>
      </c>
      <c r="I56" s="78" t="e">
        <f t="shared" si="2"/>
        <v>#DIV/0!</v>
      </c>
      <c r="J56" s="79" t="e">
        <f t="shared" si="12"/>
        <v>#DIV/0!</v>
      </c>
      <c r="K56" s="182"/>
      <c r="L56" s="77" t="e">
        <f t="shared" si="13"/>
        <v>#DIV/0!</v>
      </c>
      <c r="M56" s="77" t="e">
        <f t="shared" si="14"/>
        <v>#DIV/0!</v>
      </c>
      <c r="N56" s="77" t="e">
        <f t="shared" si="15"/>
        <v>#DIV/0!</v>
      </c>
      <c r="O56" s="79" t="e">
        <f t="shared" si="16"/>
        <v>#DIV/0!</v>
      </c>
      <c r="Q56" s="81" t="e">
        <f t="shared" si="17"/>
        <v>#DIV/0!</v>
      </c>
      <c r="R56" s="78" t="e">
        <f t="shared" si="8"/>
        <v>#DIV/0!</v>
      </c>
      <c r="S56" s="77" t="e">
        <f t="shared" si="18"/>
        <v>#DIV/0!</v>
      </c>
      <c r="T56" s="79" t="e">
        <f t="shared" si="19"/>
        <v>#DIV/0!</v>
      </c>
    </row>
    <row r="57" spans="1:20">
      <c r="A57" s="40" t="s">
        <v>46</v>
      </c>
      <c r="B57" s="176">
        <f>'1.Reel GSYH '!B55</f>
        <v>0</v>
      </c>
      <c r="C57" s="83"/>
      <c r="D57" s="175">
        <f>'1.Reel GSYH '!Q55</f>
        <v>0</v>
      </c>
      <c r="E57" s="72">
        <f>'1.Reel GSYH '!R55</f>
        <v>0</v>
      </c>
      <c r="F57" s="176">
        <f>'1.Reel GSYH '!S55</f>
        <v>0</v>
      </c>
      <c r="H57" s="81" t="e">
        <f t="shared" si="11"/>
        <v>#DIV/0!</v>
      </c>
      <c r="I57" s="78" t="e">
        <f t="shared" si="2"/>
        <v>#DIV/0!</v>
      </c>
      <c r="J57" s="79" t="e">
        <f t="shared" si="12"/>
        <v>#DIV/0!</v>
      </c>
      <c r="K57" s="182"/>
      <c r="L57" s="77" t="e">
        <f t="shared" si="13"/>
        <v>#DIV/0!</v>
      </c>
      <c r="M57" s="77" t="e">
        <f t="shared" si="14"/>
        <v>#DIV/0!</v>
      </c>
      <c r="N57" s="77" t="e">
        <f t="shared" si="15"/>
        <v>#DIV/0!</v>
      </c>
      <c r="O57" s="79" t="e">
        <f t="shared" si="16"/>
        <v>#DIV/0!</v>
      </c>
      <c r="Q57" s="81" t="e">
        <f t="shared" si="17"/>
        <v>#DIV/0!</v>
      </c>
      <c r="R57" s="78" t="e">
        <f t="shared" si="8"/>
        <v>#DIV/0!</v>
      </c>
      <c r="S57" s="77" t="e">
        <f t="shared" si="18"/>
        <v>#DIV/0!</v>
      </c>
      <c r="T57" s="79" t="e">
        <f t="shared" si="19"/>
        <v>#DIV/0!</v>
      </c>
    </row>
    <row r="58" spans="1:20">
      <c r="A58" s="40" t="s">
        <v>47</v>
      </c>
      <c r="B58" s="176">
        <f>'1.Reel GSYH '!B56</f>
        <v>0</v>
      </c>
      <c r="C58" s="83"/>
      <c r="D58" s="175">
        <f>'1.Reel GSYH '!Q56</f>
        <v>0</v>
      </c>
      <c r="E58" s="72">
        <f>'1.Reel GSYH '!R56</f>
        <v>0</v>
      </c>
      <c r="F58" s="176">
        <f>'1.Reel GSYH '!S56</f>
        <v>0</v>
      </c>
      <c r="H58" s="81" t="e">
        <f t="shared" si="11"/>
        <v>#DIV/0!</v>
      </c>
      <c r="I58" s="78" t="e">
        <f t="shared" si="2"/>
        <v>#DIV/0!</v>
      </c>
      <c r="J58" s="79" t="e">
        <f t="shared" si="12"/>
        <v>#DIV/0!</v>
      </c>
      <c r="K58" s="182"/>
      <c r="L58" s="77" t="e">
        <f t="shared" si="13"/>
        <v>#DIV/0!</v>
      </c>
      <c r="M58" s="77" t="e">
        <f t="shared" si="14"/>
        <v>#DIV/0!</v>
      </c>
      <c r="N58" s="77" t="e">
        <f t="shared" si="15"/>
        <v>#DIV/0!</v>
      </c>
      <c r="O58" s="79" t="e">
        <f t="shared" si="16"/>
        <v>#DIV/0!</v>
      </c>
      <c r="Q58" s="81" t="e">
        <f t="shared" si="17"/>
        <v>#DIV/0!</v>
      </c>
      <c r="R58" s="78" t="e">
        <f t="shared" si="8"/>
        <v>#DIV/0!</v>
      </c>
      <c r="S58" s="77" t="e">
        <f t="shared" si="18"/>
        <v>#DIV/0!</v>
      </c>
      <c r="T58" s="79" t="e">
        <f t="shared" si="19"/>
        <v>#DIV/0!</v>
      </c>
    </row>
    <row r="59" spans="1:20">
      <c r="A59" s="40" t="s">
        <v>48</v>
      </c>
      <c r="B59" s="176">
        <f>'1.Reel GSYH '!B57</f>
        <v>0</v>
      </c>
      <c r="C59" s="83"/>
      <c r="D59" s="175">
        <f>'1.Reel GSYH '!Q57</f>
        <v>0</v>
      </c>
      <c r="E59" s="72">
        <f>'1.Reel GSYH '!R57</f>
        <v>0</v>
      </c>
      <c r="F59" s="176">
        <f>'1.Reel GSYH '!S57</f>
        <v>0</v>
      </c>
      <c r="H59" s="81" t="e">
        <f t="shared" si="11"/>
        <v>#DIV/0!</v>
      </c>
      <c r="I59" s="78" t="e">
        <f t="shared" si="2"/>
        <v>#DIV/0!</v>
      </c>
      <c r="J59" s="79" t="e">
        <f t="shared" si="12"/>
        <v>#DIV/0!</v>
      </c>
      <c r="K59" s="182"/>
      <c r="L59" s="77" t="e">
        <f t="shared" si="13"/>
        <v>#DIV/0!</v>
      </c>
      <c r="M59" s="77" t="e">
        <f t="shared" si="14"/>
        <v>#DIV/0!</v>
      </c>
      <c r="N59" s="77" t="e">
        <f t="shared" si="15"/>
        <v>#DIV/0!</v>
      </c>
      <c r="O59" s="79" t="e">
        <f t="shared" si="16"/>
        <v>#DIV/0!</v>
      </c>
      <c r="Q59" s="81" t="e">
        <f t="shared" si="17"/>
        <v>#DIV/0!</v>
      </c>
      <c r="R59" s="78" t="e">
        <f t="shared" si="8"/>
        <v>#DIV/0!</v>
      </c>
      <c r="S59" s="77" t="e">
        <f t="shared" si="18"/>
        <v>#DIV/0!</v>
      </c>
      <c r="T59" s="79" t="e">
        <f t="shared" si="19"/>
        <v>#DIV/0!</v>
      </c>
    </row>
    <row r="60" spans="1:20">
      <c r="A60" s="40" t="s">
        <v>49</v>
      </c>
      <c r="B60" s="176">
        <f>'1.Reel GSYH '!B58</f>
        <v>0</v>
      </c>
      <c r="C60" s="83"/>
      <c r="D60" s="175">
        <f>'1.Reel GSYH '!Q58</f>
        <v>0</v>
      </c>
      <c r="E60" s="72">
        <f>'1.Reel GSYH '!R58</f>
        <v>0</v>
      </c>
      <c r="F60" s="176">
        <f>'1.Reel GSYH '!S58</f>
        <v>0</v>
      </c>
      <c r="H60" s="81" t="e">
        <f t="shared" si="11"/>
        <v>#DIV/0!</v>
      </c>
      <c r="I60" s="78" t="e">
        <f t="shared" si="2"/>
        <v>#DIV/0!</v>
      </c>
      <c r="J60" s="79" t="e">
        <f t="shared" si="12"/>
        <v>#DIV/0!</v>
      </c>
      <c r="K60" s="182"/>
      <c r="L60" s="77" t="e">
        <f t="shared" si="13"/>
        <v>#DIV/0!</v>
      </c>
      <c r="M60" s="77" t="e">
        <f t="shared" si="14"/>
        <v>#DIV/0!</v>
      </c>
      <c r="N60" s="77" t="e">
        <f t="shared" si="15"/>
        <v>#DIV/0!</v>
      </c>
      <c r="O60" s="79" t="e">
        <f t="shared" si="16"/>
        <v>#DIV/0!</v>
      </c>
      <c r="Q60" s="81" t="e">
        <f t="shared" si="17"/>
        <v>#DIV/0!</v>
      </c>
      <c r="R60" s="78" t="e">
        <f t="shared" si="8"/>
        <v>#DIV/0!</v>
      </c>
      <c r="S60" s="77" t="e">
        <f t="shared" si="18"/>
        <v>#DIV/0!</v>
      </c>
      <c r="T60" s="79" t="e">
        <f t="shared" si="19"/>
        <v>#DIV/0!</v>
      </c>
    </row>
    <row r="61" spans="1:20">
      <c r="A61" s="40" t="s">
        <v>50</v>
      </c>
      <c r="B61" s="176">
        <f>'1.Reel GSYH '!B59</f>
        <v>0</v>
      </c>
      <c r="C61" s="83"/>
      <c r="D61" s="175">
        <f>'1.Reel GSYH '!Q59</f>
        <v>0</v>
      </c>
      <c r="E61" s="72">
        <f>'1.Reel GSYH '!R59</f>
        <v>0</v>
      </c>
      <c r="F61" s="176">
        <f>'1.Reel GSYH '!S59</f>
        <v>0</v>
      </c>
      <c r="H61" s="81" t="e">
        <f t="shared" si="11"/>
        <v>#DIV/0!</v>
      </c>
      <c r="I61" s="78" t="e">
        <f t="shared" si="2"/>
        <v>#DIV/0!</v>
      </c>
      <c r="J61" s="79" t="e">
        <f t="shared" si="12"/>
        <v>#DIV/0!</v>
      </c>
      <c r="K61" s="182"/>
      <c r="L61" s="77" t="e">
        <f t="shared" si="13"/>
        <v>#DIV/0!</v>
      </c>
      <c r="M61" s="77" t="e">
        <f t="shared" si="14"/>
        <v>#DIV/0!</v>
      </c>
      <c r="N61" s="77" t="e">
        <f t="shared" si="15"/>
        <v>#DIV/0!</v>
      </c>
      <c r="O61" s="79" t="e">
        <f t="shared" si="16"/>
        <v>#DIV/0!</v>
      </c>
      <c r="Q61" s="81" t="e">
        <f t="shared" si="17"/>
        <v>#DIV/0!</v>
      </c>
      <c r="R61" s="78" t="e">
        <f t="shared" si="8"/>
        <v>#DIV/0!</v>
      </c>
      <c r="S61" s="77" t="e">
        <f t="shared" si="18"/>
        <v>#DIV/0!</v>
      </c>
      <c r="T61" s="79" t="e">
        <f t="shared" si="19"/>
        <v>#DIV/0!</v>
      </c>
    </row>
    <row r="62" spans="1:20">
      <c r="A62" s="40" t="s">
        <v>51</v>
      </c>
      <c r="B62" s="176">
        <f>'1.Reel GSYH '!B60</f>
        <v>0</v>
      </c>
      <c r="C62" s="83"/>
      <c r="D62" s="175">
        <f>'1.Reel GSYH '!Q60</f>
        <v>0</v>
      </c>
      <c r="E62" s="72">
        <f>'1.Reel GSYH '!R60</f>
        <v>0</v>
      </c>
      <c r="F62" s="176">
        <f>'1.Reel GSYH '!S60</f>
        <v>0</v>
      </c>
      <c r="H62" s="81" t="e">
        <f t="shared" si="11"/>
        <v>#DIV/0!</v>
      </c>
      <c r="I62" s="78" t="e">
        <f t="shared" si="2"/>
        <v>#DIV/0!</v>
      </c>
      <c r="J62" s="79" t="e">
        <f t="shared" si="12"/>
        <v>#DIV/0!</v>
      </c>
      <c r="K62" s="182"/>
      <c r="L62" s="77" t="e">
        <f t="shared" si="13"/>
        <v>#DIV/0!</v>
      </c>
      <c r="M62" s="77" t="e">
        <f t="shared" si="14"/>
        <v>#DIV/0!</v>
      </c>
      <c r="N62" s="77" t="e">
        <f t="shared" si="15"/>
        <v>#DIV/0!</v>
      </c>
      <c r="O62" s="79" t="e">
        <f t="shared" si="16"/>
        <v>#DIV/0!</v>
      </c>
      <c r="Q62" s="81" t="e">
        <f t="shared" si="17"/>
        <v>#DIV/0!</v>
      </c>
      <c r="R62" s="78" t="e">
        <f t="shared" si="8"/>
        <v>#DIV/0!</v>
      </c>
      <c r="S62" s="77" t="e">
        <f t="shared" si="18"/>
        <v>#DIV/0!</v>
      </c>
      <c r="T62" s="79" t="e">
        <f t="shared" si="19"/>
        <v>#DIV/0!</v>
      </c>
    </row>
    <row r="63" spans="1:20">
      <c r="A63" s="40" t="s">
        <v>52</v>
      </c>
      <c r="B63" s="176">
        <f>'1.Reel GSYH '!B61</f>
        <v>0</v>
      </c>
      <c r="C63" s="83"/>
      <c r="D63" s="175">
        <f>'1.Reel GSYH '!Q61</f>
        <v>0</v>
      </c>
      <c r="E63" s="72">
        <f>'1.Reel GSYH '!R61</f>
        <v>0</v>
      </c>
      <c r="F63" s="176">
        <f>'1.Reel GSYH '!S61</f>
        <v>0</v>
      </c>
      <c r="H63" s="81" t="e">
        <f t="shared" si="11"/>
        <v>#DIV/0!</v>
      </c>
      <c r="I63" s="78" t="e">
        <f t="shared" si="2"/>
        <v>#DIV/0!</v>
      </c>
      <c r="J63" s="79" t="e">
        <f t="shared" si="12"/>
        <v>#DIV/0!</v>
      </c>
      <c r="K63" s="182"/>
      <c r="L63" s="77" t="e">
        <f t="shared" si="13"/>
        <v>#DIV/0!</v>
      </c>
      <c r="M63" s="77" t="e">
        <f t="shared" si="14"/>
        <v>#DIV/0!</v>
      </c>
      <c r="N63" s="77" t="e">
        <f t="shared" si="15"/>
        <v>#DIV/0!</v>
      </c>
      <c r="O63" s="79" t="e">
        <f t="shared" si="16"/>
        <v>#DIV/0!</v>
      </c>
      <c r="Q63" s="81" t="e">
        <f t="shared" si="17"/>
        <v>#DIV/0!</v>
      </c>
      <c r="R63" s="78" t="e">
        <f t="shared" si="8"/>
        <v>#DIV/0!</v>
      </c>
      <c r="S63" s="77" t="e">
        <f t="shared" si="18"/>
        <v>#DIV/0!</v>
      </c>
      <c r="T63" s="79" t="e">
        <f t="shared" si="19"/>
        <v>#DIV/0!</v>
      </c>
    </row>
    <row r="64" spans="1:20">
      <c r="A64" s="40" t="s">
        <v>53</v>
      </c>
      <c r="B64" s="176">
        <f>'1.Reel GSYH '!B62</f>
        <v>0</v>
      </c>
      <c r="C64" s="83"/>
      <c r="D64" s="175">
        <f>'1.Reel GSYH '!Q62</f>
        <v>0</v>
      </c>
      <c r="E64" s="72">
        <f>'1.Reel GSYH '!R62</f>
        <v>0</v>
      </c>
      <c r="F64" s="176">
        <f>'1.Reel GSYH '!S62</f>
        <v>0</v>
      </c>
      <c r="H64" s="81" t="e">
        <f t="shared" si="11"/>
        <v>#DIV/0!</v>
      </c>
      <c r="I64" s="78" t="e">
        <f t="shared" si="2"/>
        <v>#DIV/0!</v>
      </c>
      <c r="J64" s="79" t="e">
        <f t="shared" si="12"/>
        <v>#DIV/0!</v>
      </c>
      <c r="K64" s="182"/>
      <c r="L64" s="77" t="e">
        <f t="shared" si="13"/>
        <v>#DIV/0!</v>
      </c>
      <c r="M64" s="77" t="e">
        <f t="shared" si="14"/>
        <v>#DIV/0!</v>
      </c>
      <c r="N64" s="77" t="e">
        <f t="shared" si="15"/>
        <v>#DIV/0!</v>
      </c>
      <c r="O64" s="79" t="e">
        <f t="shared" si="16"/>
        <v>#DIV/0!</v>
      </c>
      <c r="Q64" s="81" t="e">
        <f t="shared" si="17"/>
        <v>#DIV/0!</v>
      </c>
      <c r="R64" s="78" t="e">
        <f t="shared" si="8"/>
        <v>#DIV/0!</v>
      </c>
      <c r="S64" s="77" t="e">
        <f t="shared" si="18"/>
        <v>#DIV/0!</v>
      </c>
      <c r="T64" s="79" t="e">
        <f t="shared" si="19"/>
        <v>#DIV/0!</v>
      </c>
    </row>
    <row r="65" spans="1:20">
      <c r="A65" s="40" t="s">
        <v>54</v>
      </c>
      <c r="B65" s="176">
        <f>'1.Reel GSYH '!B63</f>
        <v>0</v>
      </c>
      <c r="C65" s="83"/>
      <c r="D65" s="175">
        <f>'1.Reel GSYH '!Q63</f>
        <v>0</v>
      </c>
      <c r="E65" s="72">
        <f>'1.Reel GSYH '!R63</f>
        <v>0</v>
      </c>
      <c r="F65" s="176">
        <f>'1.Reel GSYH '!S63</f>
        <v>0</v>
      </c>
      <c r="H65" s="81" t="e">
        <f t="shared" si="11"/>
        <v>#DIV/0!</v>
      </c>
      <c r="I65" s="78" t="e">
        <f t="shared" si="2"/>
        <v>#DIV/0!</v>
      </c>
      <c r="J65" s="79" t="e">
        <f t="shared" si="12"/>
        <v>#DIV/0!</v>
      </c>
      <c r="K65" s="182"/>
      <c r="L65" s="77" t="e">
        <f t="shared" si="13"/>
        <v>#DIV/0!</v>
      </c>
      <c r="M65" s="77" t="e">
        <f t="shared" si="14"/>
        <v>#DIV/0!</v>
      </c>
      <c r="N65" s="77" t="e">
        <f t="shared" si="15"/>
        <v>#DIV/0!</v>
      </c>
      <c r="O65" s="79" t="e">
        <f t="shared" si="16"/>
        <v>#DIV/0!</v>
      </c>
      <c r="Q65" s="81" t="e">
        <f t="shared" si="17"/>
        <v>#DIV/0!</v>
      </c>
      <c r="R65" s="78" t="e">
        <f t="shared" si="8"/>
        <v>#DIV/0!</v>
      </c>
      <c r="S65" s="77" t="e">
        <f t="shared" si="18"/>
        <v>#DIV/0!</v>
      </c>
      <c r="T65" s="79" t="e">
        <f t="shared" si="19"/>
        <v>#DIV/0!</v>
      </c>
    </row>
    <row r="66" spans="1:20">
      <c r="A66" s="40" t="s">
        <v>55</v>
      </c>
      <c r="B66" s="176">
        <f>'1.Reel GSYH '!B64</f>
        <v>0</v>
      </c>
      <c r="C66" s="83"/>
      <c r="D66" s="175">
        <f>'1.Reel GSYH '!Q64</f>
        <v>0</v>
      </c>
      <c r="E66" s="72">
        <f>'1.Reel GSYH '!R64</f>
        <v>0</v>
      </c>
      <c r="F66" s="176">
        <f>'1.Reel GSYH '!S64</f>
        <v>0</v>
      </c>
      <c r="H66" s="81" t="e">
        <f t="shared" si="11"/>
        <v>#DIV/0!</v>
      </c>
      <c r="I66" s="78" t="e">
        <f t="shared" si="2"/>
        <v>#DIV/0!</v>
      </c>
      <c r="J66" s="79" t="e">
        <f t="shared" si="12"/>
        <v>#DIV/0!</v>
      </c>
      <c r="K66" s="182"/>
      <c r="L66" s="77" t="e">
        <f t="shared" si="13"/>
        <v>#DIV/0!</v>
      </c>
      <c r="M66" s="77" t="e">
        <f t="shared" si="14"/>
        <v>#DIV/0!</v>
      </c>
      <c r="N66" s="77" t="e">
        <f t="shared" si="15"/>
        <v>#DIV/0!</v>
      </c>
      <c r="O66" s="79" t="e">
        <f t="shared" si="16"/>
        <v>#DIV/0!</v>
      </c>
      <c r="Q66" s="81" t="e">
        <f t="shared" si="17"/>
        <v>#DIV/0!</v>
      </c>
      <c r="R66" s="78" t="e">
        <f t="shared" si="8"/>
        <v>#DIV/0!</v>
      </c>
      <c r="S66" s="77" t="e">
        <f t="shared" si="18"/>
        <v>#DIV/0!</v>
      </c>
      <c r="T66" s="79" t="e">
        <f t="shared" si="19"/>
        <v>#DIV/0!</v>
      </c>
    </row>
    <row r="67" spans="1:20">
      <c r="A67" s="40" t="s">
        <v>56</v>
      </c>
      <c r="B67" s="176">
        <f>'1.Reel GSYH '!B65</f>
        <v>0</v>
      </c>
      <c r="C67" s="83"/>
      <c r="D67" s="175">
        <f>'1.Reel GSYH '!Q65</f>
        <v>0</v>
      </c>
      <c r="E67" s="72">
        <f>'1.Reel GSYH '!R65</f>
        <v>0</v>
      </c>
      <c r="F67" s="176">
        <f>'1.Reel GSYH '!S65</f>
        <v>0</v>
      </c>
      <c r="H67" s="81" t="e">
        <f t="shared" si="11"/>
        <v>#DIV/0!</v>
      </c>
      <c r="I67" s="78" t="e">
        <f t="shared" si="2"/>
        <v>#DIV/0!</v>
      </c>
      <c r="J67" s="79" t="e">
        <f t="shared" si="12"/>
        <v>#DIV/0!</v>
      </c>
      <c r="K67" s="182"/>
      <c r="L67" s="77" t="e">
        <f t="shared" si="13"/>
        <v>#DIV/0!</v>
      </c>
      <c r="M67" s="77" t="e">
        <f t="shared" si="14"/>
        <v>#DIV/0!</v>
      </c>
      <c r="N67" s="77" t="e">
        <f t="shared" si="15"/>
        <v>#DIV/0!</v>
      </c>
      <c r="O67" s="79" t="e">
        <f t="shared" si="16"/>
        <v>#DIV/0!</v>
      </c>
      <c r="Q67" s="81" t="e">
        <f t="shared" si="17"/>
        <v>#DIV/0!</v>
      </c>
      <c r="R67" s="78" t="e">
        <f t="shared" si="8"/>
        <v>#DIV/0!</v>
      </c>
      <c r="S67" s="77" t="e">
        <f t="shared" si="18"/>
        <v>#DIV/0!</v>
      </c>
      <c r="T67" s="79" t="e">
        <f t="shared" si="19"/>
        <v>#DIV/0!</v>
      </c>
    </row>
    <row r="68" spans="1:20">
      <c r="A68" s="40" t="s">
        <v>57</v>
      </c>
      <c r="B68" s="176">
        <f>'1.Reel GSYH '!B66</f>
        <v>0</v>
      </c>
      <c r="C68" s="83"/>
      <c r="D68" s="175">
        <f>'1.Reel GSYH '!Q66</f>
        <v>0</v>
      </c>
      <c r="E68" s="72">
        <f>'1.Reel GSYH '!R66</f>
        <v>0</v>
      </c>
      <c r="F68" s="176">
        <f>'1.Reel GSYH '!S66</f>
        <v>0</v>
      </c>
      <c r="H68" s="81" t="e">
        <f t="shared" si="11"/>
        <v>#DIV/0!</v>
      </c>
      <c r="I68" s="78" t="e">
        <f t="shared" si="2"/>
        <v>#DIV/0!</v>
      </c>
      <c r="J68" s="79" t="e">
        <f t="shared" si="12"/>
        <v>#DIV/0!</v>
      </c>
      <c r="K68" s="182"/>
      <c r="L68" s="77" t="e">
        <f t="shared" si="13"/>
        <v>#DIV/0!</v>
      </c>
      <c r="M68" s="77" t="e">
        <f t="shared" si="14"/>
        <v>#DIV/0!</v>
      </c>
      <c r="N68" s="77" t="e">
        <f t="shared" si="15"/>
        <v>#DIV/0!</v>
      </c>
      <c r="O68" s="79" t="e">
        <f t="shared" si="16"/>
        <v>#DIV/0!</v>
      </c>
      <c r="Q68" s="81" t="e">
        <f t="shared" si="17"/>
        <v>#DIV/0!</v>
      </c>
      <c r="R68" s="78" t="e">
        <f t="shared" si="8"/>
        <v>#DIV/0!</v>
      </c>
      <c r="S68" s="77" t="e">
        <f t="shared" si="18"/>
        <v>#DIV/0!</v>
      </c>
      <c r="T68" s="79" t="e">
        <f t="shared" si="19"/>
        <v>#DIV/0!</v>
      </c>
    </row>
    <row r="69" spans="1:20">
      <c r="A69" s="40" t="s">
        <v>58</v>
      </c>
      <c r="B69" s="176">
        <f>'1.Reel GSYH '!B67</f>
        <v>0</v>
      </c>
      <c r="C69" s="83"/>
      <c r="D69" s="175">
        <f>'1.Reel GSYH '!Q67</f>
        <v>0</v>
      </c>
      <c r="E69" s="72">
        <f>'1.Reel GSYH '!R67</f>
        <v>0</v>
      </c>
      <c r="F69" s="176">
        <f>'1.Reel GSYH '!S67</f>
        <v>0</v>
      </c>
      <c r="H69" s="81" t="e">
        <f t="shared" si="11"/>
        <v>#DIV/0!</v>
      </c>
      <c r="I69" s="78" t="e">
        <f t="shared" si="2"/>
        <v>#DIV/0!</v>
      </c>
      <c r="J69" s="79" t="e">
        <f t="shared" si="12"/>
        <v>#DIV/0!</v>
      </c>
      <c r="K69" s="182"/>
      <c r="L69" s="77" t="e">
        <f t="shared" si="13"/>
        <v>#DIV/0!</v>
      </c>
      <c r="M69" s="77" t="e">
        <f t="shared" si="14"/>
        <v>#DIV/0!</v>
      </c>
      <c r="N69" s="77" t="e">
        <f t="shared" si="15"/>
        <v>#DIV/0!</v>
      </c>
      <c r="O69" s="79" t="e">
        <f t="shared" si="16"/>
        <v>#DIV/0!</v>
      </c>
      <c r="Q69" s="81" t="e">
        <f t="shared" si="17"/>
        <v>#DIV/0!</v>
      </c>
      <c r="R69" s="78" t="e">
        <f t="shared" si="8"/>
        <v>#DIV/0!</v>
      </c>
      <c r="S69" s="77" t="e">
        <f t="shared" si="18"/>
        <v>#DIV/0!</v>
      </c>
      <c r="T69" s="79" t="e">
        <f t="shared" si="19"/>
        <v>#DIV/0!</v>
      </c>
    </row>
    <row r="70" spans="1:20">
      <c r="A70" s="40" t="s">
        <v>59</v>
      </c>
      <c r="B70" s="176">
        <f>'1.Reel GSYH '!B68</f>
        <v>0</v>
      </c>
      <c r="C70" s="83"/>
      <c r="D70" s="175">
        <f>'1.Reel GSYH '!Q68</f>
        <v>0</v>
      </c>
      <c r="E70" s="72">
        <f>'1.Reel GSYH '!R68</f>
        <v>0</v>
      </c>
      <c r="F70" s="176">
        <f>'1.Reel GSYH '!S68</f>
        <v>0</v>
      </c>
      <c r="H70" s="81" t="e">
        <f t="shared" si="11"/>
        <v>#DIV/0!</v>
      </c>
      <c r="I70" s="78" t="e">
        <f t="shared" si="2"/>
        <v>#DIV/0!</v>
      </c>
      <c r="J70" s="79" t="e">
        <f t="shared" si="12"/>
        <v>#DIV/0!</v>
      </c>
      <c r="K70" s="182"/>
      <c r="L70" s="77" t="e">
        <f t="shared" si="13"/>
        <v>#DIV/0!</v>
      </c>
      <c r="M70" s="77" t="e">
        <f t="shared" si="14"/>
        <v>#DIV/0!</v>
      </c>
      <c r="N70" s="77" t="e">
        <f t="shared" si="15"/>
        <v>#DIV/0!</v>
      </c>
      <c r="O70" s="79" t="e">
        <f t="shared" si="16"/>
        <v>#DIV/0!</v>
      </c>
      <c r="Q70" s="81" t="e">
        <f t="shared" si="17"/>
        <v>#DIV/0!</v>
      </c>
      <c r="R70" s="78" t="e">
        <f t="shared" si="8"/>
        <v>#DIV/0!</v>
      </c>
      <c r="S70" s="77" t="e">
        <f t="shared" si="18"/>
        <v>#DIV/0!</v>
      </c>
      <c r="T70" s="79" t="e">
        <f t="shared" si="19"/>
        <v>#DIV/0!</v>
      </c>
    </row>
    <row r="71" spans="1:20">
      <c r="A71" s="40" t="s">
        <v>60</v>
      </c>
      <c r="B71" s="176">
        <f>'1.Reel GSYH '!B69</f>
        <v>0</v>
      </c>
      <c r="C71" s="83"/>
      <c r="D71" s="175">
        <f>'1.Reel GSYH '!Q69</f>
        <v>0</v>
      </c>
      <c r="E71" s="72">
        <f>'1.Reel GSYH '!R69</f>
        <v>0</v>
      </c>
      <c r="F71" s="176">
        <f>'1.Reel GSYH '!S69</f>
        <v>0</v>
      </c>
      <c r="H71" s="81" t="e">
        <f t="shared" si="11"/>
        <v>#DIV/0!</v>
      </c>
      <c r="I71" s="78" t="e">
        <f t="shared" si="2"/>
        <v>#DIV/0!</v>
      </c>
      <c r="J71" s="79" t="e">
        <f t="shared" si="12"/>
        <v>#DIV/0!</v>
      </c>
      <c r="K71" s="182"/>
      <c r="L71" s="77" t="e">
        <f t="shared" si="13"/>
        <v>#DIV/0!</v>
      </c>
      <c r="M71" s="77" t="e">
        <f t="shared" si="14"/>
        <v>#DIV/0!</v>
      </c>
      <c r="N71" s="77" t="e">
        <f t="shared" si="15"/>
        <v>#DIV/0!</v>
      </c>
      <c r="O71" s="79" t="e">
        <f t="shared" si="16"/>
        <v>#DIV/0!</v>
      </c>
      <c r="Q71" s="81" t="e">
        <f t="shared" si="17"/>
        <v>#DIV/0!</v>
      </c>
      <c r="R71" s="78" t="e">
        <f t="shared" si="8"/>
        <v>#DIV/0!</v>
      </c>
      <c r="S71" s="77" t="e">
        <f t="shared" si="18"/>
        <v>#DIV/0!</v>
      </c>
      <c r="T71" s="79" t="e">
        <f t="shared" si="19"/>
        <v>#DIV/0!</v>
      </c>
    </row>
    <row r="72" spans="1:20">
      <c r="A72" s="40" t="s">
        <v>61</v>
      </c>
      <c r="B72" s="176">
        <f>'1.Reel GSYH '!B70</f>
        <v>0</v>
      </c>
      <c r="C72" s="83"/>
      <c r="D72" s="175">
        <f>'1.Reel GSYH '!Q70</f>
        <v>0</v>
      </c>
      <c r="E72" s="72">
        <f>'1.Reel GSYH '!R70</f>
        <v>0</v>
      </c>
      <c r="F72" s="176">
        <f>'1.Reel GSYH '!S70</f>
        <v>0</v>
      </c>
      <c r="H72" s="81" t="e">
        <f t="shared" si="11"/>
        <v>#DIV/0!</v>
      </c>
      <c r="I72" s="78" t="e">
        <f t="shared" si="2"/>
        <v>#DIV/0!</v>
      </c>
      <c r="J72" s="79" t="e">
        <f t="shared" si="12"/>
        <v>#DIV/0!</v>
      </c>
      <c r="K72" s="182"/>
      <c r="L72" s="77" t="e">
        <f t="shared" si="13"/>
        <v>#DIV/0!</v>
      </c>
      <c r="M72" s="77" t="e">
        <f t="shared" si="14"/>
        <v>#DIV/0!</v>
      </c>
      <c r="N72" s="77" t="e">
        <f t="shared" si="15"/>
        <v>#DIV/0!</v>
      </c>
      <c r="O72" s="79" t="e">
        <f t="shared" si="16"/>
        <v>#DIV/0!</v>
      </c>
      <c r="Q72" s="81" t="e">
        <f t="shared" si="17"/>
        <v>#DIV/0!</v>
      </c>
      <c r="R72" s="78" t="e">
        <f t="shared" si="8"/>
        <v>#DIV/0!</v>
      </c>
      <c r="S72" s="77" t="e">
        <f t="shared" si="18"/>
        <v>#DIV/0!</v>
      </c>
      <c r="T72" s="79" t="e">
        <f t="shared" si="19"/>
        <v>#DIV/0!</v>
      </c>
    </row>
    <row r="73" spans="1:20">
      <c r="A73" s="40" t="s">
        <v>62</v>
      </c>
      <c r="B73" s="176">
        <f>'1.Reel GSYH '!B71</f>
        <v>0</v>
      </c>
      <c r="C73" s="83"/>
      <c r="D73" s="175">
        <f>'1.Reel GSYH '!Q71</f>
        <v>0</v>
      </c>
      <c r="E73" s="72">
        <f>'1.Reel GSYH '!R71</f>
        <v>0</v>
      </c>
      <c r="F73" s="176">
        <f>'1.Reel GSYH '!S71</f>
        <v>0</v>
      </c>
      <c r="H73" s="81" t="e">
        <f t="shared" si="11"/>
        <v>#DIV/0!</v>
      </c>
      <c r="I73" s="78" t="e">
        <f t="shared" si="2"/>
        <v>#DIV/0!</v>
      </c>
      <c r="J73" s="79" t="e">
        <f t="shared" si="12"/>
        <v>#DIV/0!</v>
      </c>
      <c r="K73" s="182"/>
      <c r="L73" s="77" t="e">
        <f t="shared" si="13"/>
        <v>#DIV/0!</v>
      </c>
      <c r="M73" s="77" t="e">
        <f t="shared" si="14"/>
        <v>#DIV/0!</v>
      </c>
      <c r="N73" s="77" t="e">
        <f t="shared" si="15"/>
        <v>#DIV/0!</v>
      </c>
      <c r="O73" s="79" t="e">
        <f t="shared" si="16"/>
        <v>#DIV/0!</v>
      </c>
      <c r="Q73" s="81" t="e">
        <f t="shared" si="17"/>
        <v>#DIV/0!</v>
      </c>
      <c r="R73" s="78" t="e">
        <f t="shared" si="8"/>
        <v>#DIV/0!</v>
      </c>
      <c r="S73" s="77" t="e">
        <f t="shared" si="18"/>
        <v>#DIV/0!</v>
      </c>
      <c r="T73" s="79" t="e">
        <f t="shared" si="19"/>
        <v>#DIV/0!</v>
      </c>
    </row>
    <row r="74" spans="1:20">
      <c r="A74" s="40" t="s">
        <v>63</v>
      </c>
      <c r="B74" s="176">
        <f>'1.Reel GSYH '!B72</f>
        <v>0</v>
      </c>
      <c r="C74" s="83"/>
      <c r="D74" s="175">
        <f>'1.Reel GSYH '!Q72</f>
        <v>0</v>
      </c>
      <c r="E74" s="72">
        <f>'1.Reel GSYH '!R72</f>
        <v>0</v>
      </c>
      <c r="F74" s="176">
        <f>'1.Reel GSYH '!S72</f>
        <v>0</v>
      </c>
      <c r="H74" s="81" t="e">
        <f t="shared" si="11"/>
        <v>#DIV/0!</v>
      </c>
      <c r="I74" s="78" t="e">
        <f t="shared" si="2"/>
        <v>#DIV/0!</v>
      </c>
      <c r="J74" s="79" t="e">
        <f t="shared" si="12"/>
        <v>#DIV/0!</v>
      </c>
      <c r="K74" s="182"/>
      <c r="L74" s="77" t="e">
        <f t="shared" si="13"/>
        <v>#DIV/0!</v>
      </c>
      <c r="M74" s="77" t="e">
        <f t="shared" si="14"/>
        <v>#DIV/0!</v>
      </c>
      <c r="N74" s="77" t="e">
        <f t="shared" si="15"/>
        <v>#DIV/0!</v>
      </c>
      <c r="O74" s="79" t="e">
        <f t="shared" si="16"/>
        <v>#DIV/0!</v>
      </c>
      <c r="Q74" s="81" t="e">
        <f t="shared" si="17"/>
        <v>#DIV/0!</v>
      </c>
      <c r="R74" s="78" t="e">
        <f t="shared" si="8"/>
        <v>#DIV/0!</v>
      </c>
      <c r="S74" s="77" t="e">
        <f t="shared" si="18"/>
        <v>#DIV/0!</v>
      </c>
      <c r="T74" s="79" t="e">
        <f t="shared" si="19"/>
        <v>#DIV/0!</v>
      </c>
    </row>
    <row r="75" spans="1:20">
      <c r="A75" s="40" t="s">
        <v>64</v>
      </c>
      <c r="B75" s="176">
        <f>'1.Reel GSYH '!B73</f>
        <v>41711554525.699997</v>
      </c>
      <c r="C75" s="83"/>
      <c r="D75" s="175">
        <f>'1.Reel GSYH '!Q73</f>
        <v>0</v>
      </c>
      <c r="E75" s="72">
        <f>'1.Reel GSYH '!R73</f>
        <v>0</v>
      </c>
      <c r="F75" s="176">
        <f>'1.Reel GSYH '!S73</f>
        <v>0</v>
      </c>
      <c r="H75" s="81">
        <f t="shared" si="11"/>
        <v>0</v>
      </c>
      <c r="I75" s="78">
        <f t="shared" si="2"/>
        <v>0</v>
      </c>
      <c r="J75" s="79">
        <f t="shared" si="12"/>
        <v>0</v>
      </c>
      <c r="K75" s="182"/>
      <c r="L75" s="77" t="e">
        <f t="shared" si="13"/>
        <v>#DIV/0!</v>
      </c>
      <c r="M75" s="77" t="e">
        <f t="shared" si="14"/>
        <v>#DIV/0!</v>
      </c>
      <c r="N75" s="77" t="e">
        <f t="shared" si="15"/>
        <v>#DIV/0!</v>
      </c>
      <c r="O75" s="79" t="e">
        <f t="shared" si="16"/>
        <v>#DIV/0!</v>
      </c>
      <c r="Q75" s="81" t="e">
        <f t="shared" si="17"/>
        <v>#DIV/0!</v>
      </c>
      <c r="R75" s="78" t="e">
        <f t="shared" si="8"/>
        <v>#DIV/0!</v>
      </c>
      <c r="S75" s="77" t="e">
        <f t="shared" si="18"/>
        <v>#DIV/0!</v>
      </c>
      <c r="T75" s="79" t="e">
        <f t="shared" si="19"/>
        <v>#DIV/0!</v>
      </c>
    </row>
    <row r="76" spans="1:20">
      <c r="A76" s="40" t="s">
        <v>65</v>
      </c>
      <c r="B76" s="176">
        <f>'1.Reel GSYH '!B74</f>
        <v>37452284259.900002</v>
      </c>
      <c r="C76" s="83"/>
      <c r="D76" s="175">
        <f>'1.Reel GSYH '!Q74</f>
        <v>0</v>
      </c>
      <c r="E76" s="72">
        <f>'1.Reel GSYH '!R74</f>
        <v>0</v>
      </c>
      <c r="F76" s="176">
        <f>'1.Reel GSYH '!S74</f>
        <v>0</v>
      </c>
      <c r="H76" s="81">
        <f t="shared" si="11"/>
        <v>0</v>
      </c>
      <c r="I76" s="78">
        <f t="shared" ref="I76:I105" si="20">E76/$B76*100</f>
        <v>0</v>
      </c>
      <c r="J76" s="79">
        <f t="shared" si="12"/>
        <v>0</v>
      </c>
      <c r="K76" s="182"/>
      <c r="L76" s="77" t="e">
        <f t="shared" si="13"/>
        <v>#DIV/0!</v>
      </c>
      <c r="M76" s="77" t="e">
        <f t="shared" si="14"/>
        <v>#DIV/0!</v>
      </c>
      <c r="N76" s="77" t="e">
        <f t="shared" si="15"/>
        <v>#DIV/0!</v>
      </c>
      <c r="O76" s="79" t="e">
        <f t="shared" si="16"/>
        <v>#DIV/0!</v>
      </c>
      <c r="Q76" s="81" t="e">
        <f t="shared" si="17"/>
        <v>#DIV/0!</v>
      </c>
      <c r="R76" s="78" t="e">
        <f t="shared" si="8"/>
        <v>#DIV/0!</v>
      </c>
      <c r="S76" s="77" t="e">
        <f t="shared" si="18"/>
        <v>#DIV/0!</v>
      </c>
      <c r="T76" s="79" t="e">
        <f t="shared" si="19"/>
        <v>#DIV/0!</v>
      </c>
    </row>
    <row r="77" spans="1:20">
      <c r="A77" s="40" t="s">
        <v>66</v>
      </c>
      <c r="B77" s="176">
        <f>'1.Reel GSYH '!B75</f>
        <v>38455469255.800003</v>
      </c>
      <c r="C77" s="83"/>
      <c r="D77" s="175">
        <f>'1.Reel GSYH '!Q75</f>
        <v>0</v>
      </c>
      <c r="E77" s="72">
        <f>'1.Reel GSYH '!R75</f>
        <v>0</v>
      </c>
      <c r="F77" s="176">
        <f>'1.Reel GSYH '!S75</f>
        <v>0</v>
      </c>
      <c r="H77" s="81">
        <f t="shared" si="11"/>
        <v>0</v>
      </c>
      <c r="I77" s="78">
        <f t="shared" si="20"/>
        <v>0</v>
      </c>
      <c r="J77" s="79">
        <f t="shared" si="12"/>
        <v>0</v>
      </c>
      <c r="K77" s="182"/>
      <c r="L77" s="77" t="e">
        <f t="shared" si="13"/>
        <v>#DIV/0!</v>
      </c>
      <c r="M77" s="77" t="e">
        <f t="shared" si="14"/>
        <v>#DIV/0!</v>
      </c>
      <c r="N77" s="77" t="e">
        <f t="shared" si="15"/>
        <v>#DIV/0!</v>
      </c>
      <c r="O77" s="79" t="e">
        <f t="shared" si="16"/>
        <v>#DIV/0!</v>
      </c>
      <c r="Q77" s="81" t="e">
        <f t="shared" si="17"/>
        <v>#DIV/0!</v>
      </c>
      <c r="R77" s="78" t="e">
        <f t="shared" si="8"/>
        <v>#DIV/0!</v>
      </c>
      <c r="S77" s="77" t="e">
        <f t="shared" si="18"/>
        <v>#DIV/0!</v>
      </c>
      <c r="T77" s="79" t="e">
        <f t="shared" si="19"/>
        <v>#DIV/0!</v>
      </c>
    </row>
    <row r="78" spans="1:20">
      <c r="A78" s="40" t="s">
        <v>67</v>
      </c>
      <c r="B78" s="176">
        <f>'1.Reel GSYH '!B76</f>
        <v>39488665277.900002</v>
      </c>
      <c r="C78" s="83"/>
      <c r="D78" s="175">
        <f>'1.Reel GSYH '!Q76</f>
        <v>0</v>
      </c>
      <c r="E78" s="72">
        <f>'1.Reel GSYH '!R76</f>
        <v>0</v>
      </c>
      <c r="F78" s="176">
        <f>'1.Reel GSYH '!S76</f>
        <v>0</v>
      </c>
      <c r="H78" s="81">
        <f t="shared" si="11"/>
        <v>0</v>
      </c>
      <c r="I78" s="78">
        <f t="shared" si="20"/>
        <v>0</v>
      </c>
      <c r="J78" s="79">
        <f t="shared" si="12"/>
        <v>0</v>
      </c>
      <c r="K78" s="182"/>
      <c r="L78" s="77" t="e">
        <f t="shared" si="13"/>
        <v>#DIV/0!</v>
      </c>
      <c r="M78" s="77" t="e">
        <f t="shared" si="14"/>
        <v>#DIV/0!</v>
      </c>
      <c r="N78" s="77" t="e">
        <f t="shared" si="15"/>
        <v>#DIV/0!</v>
      </c>
      <c r="O78" s="79" t="e">
        <f t="shared" si="16"/>
        <v>#DIV/0!</v>
      </c>
      <c r="Q78" s="81" t="e">
        <f t="shared" si="17"/>
        <v>#DIV/0!</v>
      </c>
      <c r="R78" s="78" t="e">
        <f t="shared" si="8"/>
        <v>#DIV/0!</v>
      </c>
      <c r="S78" s="77" t="e">
        <f t="shared" si="18"/>
        <v>#DIV/0!</v>
      </c>
      <c r="T78" s="79" t="e">
        <f t="shared" si="19"/>
        <v>#DIV/0!</v>
      </c>
    </row>
    <row r="79" spans="1:20">
      <c r="A79" s="40" t="s">
        <v>68</v>
      </c>
      <c r="B79" s="176">
        <f>'1.Reel GSYH '!B77</f>
        <v>33797607933.699989</v>
      </c>
      <c r="C79" s="83"/>
      <c r="D79" s="175">
        <f>'1.Reel GSYH '!Q77</f>
        <v>0</v>
      </c>
      <c r="E79" s="72">
        <f>'1.Reel GSYH '!R77</f>
        <v>0</v>
      </c>
      <c r="F79" s="176">
        <f>'1.Reel GSYH '!S77</f>
        <v>0</v>
      </c>
      <c r="H79" s="81">
        <f t="shared" si="11"/>
        <v>0</v>
      </c>
      <c r="I79" s="78">
        <f t="shared" si="20"/>
        <v>0</v>
      </c>
      <c r="J79" s="79">
        <f t="shared" si="12"/>
        <v>0</v>
      </c>
      <c r="K79" s="182"/>
      <c r="L79" s="77">
        <f t="shared" si="13"/>
        <v>-18.973032009928904</v>
      </c>
      <c r="M79" s="77" t="e">
        <f t="shared" si="14"/>
        <v>#DIV/0!</v>
      </c>
      <c r="N79" s="77" t="e">
        <f t="shared" si="15"/>
        <v>#DIV/0!</v>
      </c>
      <c r="O79" s="79" t="e">
        <f t="shared" si="16"/>
        <v>#DIV/0!</v>
      </c>
      <c r="Q79" s="81">
        <f t="shared" si="17"/>
        <v>-18.973032009928904</v>
      </c>
      <c r="R79" s="78">
        <f t="shared" si="8"/>
        <v>0</v>
      </c>
      <c r="S79" s="77">
        <f t="shared" si="18"/>
        <v>0</v>
      </c>
      <c r="T79" s="79">
        <f t="shared" si="19"/>
        <v>0</v>
      </c>
    </row>
    <row r="80" spans="1:20">
      <c r="A80" s="40" t="s">
        <v>69</v>
      </c>
      <c r="B80" s="176">
        <f>'1.Reel GSYH '!B78</f>
        <v>33818167530.699997</v>
      </c>
      <c r="C80" s="83"/>
      <c r="D80" s="175">
        <f>'1.Reel GSYH '!Q78</f>
        <v>0</v>
      </c>
      <c r="E80" s="72">
        <f>'1.Reel GSYH '!R78</f>
        <v>0</v>
      </c>
      <c r="F80" s="176">
        <f>'1.Reel GSYH '!S78</f>
        <v>0</v>
      </c>
      <c r="H80" s="81">
        <f t="shared" si="11"/>
        <v>0</v>
      </c>
      <c r="I80" s="78">
        <f t="shared" si="20"/>
        <v>0</v>
      </c>
      <c r="J80" s="79">
        <f t="shared" si="12"/>
        <v>0</v>
      </c>
      <c r="K80" s="182"/>
      <c r="L80" s="77">
        <f t="shared" si="13"/>
        <v>-9.7033246463181335</v>
      </c>
      <c r="M80" s="77" t="e">
        <f t="shared" si="14"/>
        <v>#DIV/0!</v>
      </c>
      <c r="N80" s="77" t="e">
        <f t="shared" si="15"/>
        <v>#DIV/0!</v>
      </c>
      <c r="O80" s="79" t="e">
        <f t="shared" si="16"/>
        <v>#DIV/0!</v>
      </c>
      <c r="Q80" s="81">
        <f t="shared" si="17"/>
        <v>-9.7033246463181335</v>
      </c>
      <c r="R80" s="78">
        <f t="shared" ref="R80:R105" si="21">((D80-D76)/$B76)*100</f>
        <v>0</v>
      </c>
      <c r="S80" s="77">
        <f t="shared" si="18"/>
        <v>0</v>
      </c>
      <c r="T80" s="79">
        <f t="shared" si="19"/>
        <v>0</v>
      </c>
    </row>
    <row r="81" spans="1:20">
      <c r="A81" s="40" t="s">
        <v>70</v>
      </c>
      <c r="B81" s="176">
        <f>'1.Reel GSYH '!B79</f>
        <v>29346809222.099998</v>
      </c>
      <c r="C81" s="83"/>
      <c r="D81" s="175">
        <f>'1.Reel GSYH '!Q79</f>
        <v>0</v>
      </c>
      <c r="E81" s="72">
        <f>'1.Reel GSYH '!R79</f>
        <v>0</v>
      </c>
      <c r="F81" s="176">
        <f>'1.Reel GSYH '!S79</f>
        <v>0</v>
      </c>
      <c r="H81" s="81">
        <f t="shared" si="11"/>
        <v>0</v>
      </c>
      <c r="I81" s="78">
        <f t="shared" si="20"/>
        <v>0</v>
      </c>
      <c r="J81" s="79">
        <f t="shared" si="12"/>
        <v>0</v>
      </c>
      <c r="K81" s="182"/>
      <c r="L81" s="77">
        <f t="shared" si="13"/>
        <v>-23.686253763048803</v>
      </c>
      <c r="M81" s="77" t="e">
        <f t="shared" si="14"/>
        <v>#DIV/0!</v>
      </c>
      <c r="N81" s="77" t="e">
        <f t="shared" si="15"/>
        <v>#DIV/0!</v>
      </c>
      <c r="O81" s="79" t="e">
        <f t="shared" si="16"/>
        <v>#DIV/0!</v>
      </c>
      <c r="Q81" s="81">
        <f t="shared" si="17"/>
        <v>-23.686253763048803</v>
      </c>
      <c r="R81" s="78">
        <f t="shared" si="21"/>
        <v>0</v>
      </c>
      <c r="S81" s="77">
        <f t="shared" si="18"/>
        <v>0</v>
      </c>
      <c r="T81" s="79">
        <f t="shared" si="19"/>
        <v>0</v>
      </c>
    </row>
    <row r="82" spans="1:20">
      <c r="A82" s="40" t="s">
        <v>71</v>
      </c>
      <c r="B82" s="176">
        <f>'1.Reel GSYH '!B80</f>
        <v>26441800920.800003</v>
      </c>
      <c r="C82" s="83"/>
      <c r="D82" s="175">
        <f>'1.Reel GSYH '!Q80</f>
        <v>0</v>
      </c>
      <c r="E82" s="72">
        <f>'1.Reel GSYH '!R80</f>
        <v>0</v>
      </c>
      <c r="F82" s="176">
        <f>'1.Reel GSYH '!S80</f>
        <v>0</v>
      </c>
      <c r="H82" s="81">
        <f t="shared" si="11"/>
        <v>0</v>
      </c>
      <c r="I82" s="78">
        <f t="shared" si="20"/>
        <v>0</v>
      </c>
      <c r="J82" s="79">
        <f t="shared" si="12"/>
        <v>0</v>
      </c>
      <c r="K82" s="182"/>
      <c r="L82" s="77">
        <f t="shared" si="13"/>
        <v>-33.039517201412558</v>
      </c>
      <c r="M82" s="77" t="e">
        <f t="shared" si="14"/>
        <v>#DIV/0!</v>
      </c>
      <c r="N82" s="77" t="e">
        <f t="shared" si="15"/>
        <v>#DIV/0!</v>
      </c>
      <c r="O82" s="79" t="e">
        <f t="shared" si="16"/>
        <v>#DIV/0!</v>
      </c>
      <c r="Q82" s="81">
        <f t="shared" si="17"/>
        <v>-33.039517201412558</v>
      </c>
      <c r="R82" s="78">
        <f t="shared" si="21"/>
        <v>0</v>
      </c>
      <c r="S82" s="77">
        <f t="shared" si="18"/>
        <v>0</v>
      </c>
      <c r="T82" s="79">
        <f t="shared" si="19"/>
        <v>0</v>
      </c>
    </row>
    <row r="83" spans="1:20">
      <c r="A83" s="40" t="s">
        <v>72</v>
      </c>
      <c r="B83" s="176">
        <f>'1.Reel GSYH '!B81</f>
        <v>20502315659.900002</v>
      </c>
      <c r="C83" s="83"/>
      <c r="D83" s="175">
        <f>'1.Reel GSYH '!Q81</f>
        <v>0</v>
      </c>
      <c r="E83" s="72">
        <f>'1.Reel GSYH '!R81</f>
        <v>0</v>
      </c>
      <c r="F83" s="176">
        <f>'1.Reel GSYH '!S81</f>
        <v>0</v>
      </c>
      <c r="H83" s="81">
        <f t="shared" si="11"/>
        <v>0</v>
      </c>
      <c r="I83" s="78">
        <f t="shared" si="20"/>
        <v>0</v>
      </c>
      <c r="J83" s="79">
        <f t="shared" si="12"/>
        <v>0</v>
      </c>
      <c r="K83" s="182"/>
      <c r="L83" s="77">
        <f t="shared" si="13"/>
        <v>-39.337968236926898</v>
      </c>
      <c r="M83" s="77" t="e">
        <f t="shared" si="14"/>
        <v>#DIV/0!</v>
      </c>
      <c r="N83" s="77" t="e">
        <f t="shared" si="15"/>
        <v>#DIV/0!</v>
      </c>
      <c r="O83" s="79" t="e">
        <f t="shared" si="16"/>
        <v>#DIV/0!</v>
      </c>
      <c r="Q83" s="81">
        <f t="shared" si="17"/>
        <v>-39.337968236926898</v>
      </c>
      <c r="R83" s="78">
        <f t="shared" si="21"/>
        <v>0</v>
      </c>
      <c r="S83" s="77">
        <f t="shared" si="18"/>
        <v>0</v>
      </c>
      <c r="T83" s="79">
        <f t="shared" si="19"/>
        <v>0</v>
      </c>
    </row>
    <row r="84" spans="1:20">
      <c r="A84" s="40" t="s">
        <v>73</v>
      </c>
      <c r="B84" s="176">
        <f>'1.Reel GSYH '!B82</f>
        <v>19288985788.599998</v>
      </c>
      <c r="C84" s="83"/>
      <c r="D84" s="175">
        <f>'1.Reel GSYH '!Q82</f>
        <v>0</v>
      </c>
      <c r="E84" s="72">
        <f>'1.Reel GSYH '!R82</f>
        <v>0</v>
      </c>
      <c r="F84" s="176">
        <f>'1.Reel GSYH '!S82</f>
        <v>0</v>
      </c>
      <c r="H84" s="81">
        <f t="shared" si="11"/>
        <v>0</v>
      </c>
      <c r="I84" s="78">
        <f t="shared" si="20"/>
        <v>0</v>
      </c>
      <c r="J84" s="79">
        <f t="shared" si="12"/>
        <v>0</v>
      </c>
      <c r="K84" s="182"/>
      <c r="L84" s="77">
        <f t="shared" si="13"/>
        <v>-42.962652334460358</v>
      </c>
      <c r="M84" s="77" t="e">
        <f t="shared" si="14"/>
        <v>#DIV/0!</v>
      </c>
      <c r="N84" s="77" t="e">
        <f t="shared" si="15"/>
        <v>#DIV/0!</v>
      </c>
      <c r="O84" s="79" t="e">
        <f t="shared" si="16"/>
        <v>#DIV/0!</v>
      </c>
      <c r="Q84" s="81">
        <f t="shared" si="17"/>
        <v>-42.962652334460358</v>
      </c>
      <c r="R84" s="78">
        <f t="shared" si="21"/>
        <v>0</v>
      </c>
      <c r="S84" s="77">
        <f t="shared" si="18"/>
        <v>0</v>
      </c>
      <c r="T84" s="79">
        <f t="shared" si="19"/>
        <v>0</v>
      </c>
    </row>
    <row r="85" spans="1:20">
      <c r="A85" s="40" t="s">
        <v>74</v>
      </c>
      <c r="B85" s="176">
        <f>'1.Reel GSYH '!B83</f>
        <v>20825080286</v>
      </c>
      <c r="C85" s="83"/>
      <c r="D85" s="175">
        <f>'1.Reel GSYH '!Q83</f>
        <v>0</v>
      </c>
      <c r="E85" s="72">
        <f>'1.Reel GSYH '!R83</f>
        <v>0</v>
      </c>
      <c r="F85" s="176">
        <f>'1.Reel GSYH '!S83</f>
        <v>0</v>
      </c>
      <c r="H85" s="81">
        <f t="shared" si="11"/>
        <v>0</v>
      </c>
      <c r="I85" s="78">
        <f t="shared" si="20"/>
        <v>0</v>
      </c>
      <c r="J85" s="79">
        <f t="shared" si="12"/>
        <v>0</v>
      </c>
      <c r="K85" s="182"/>
      <c r="L85" s="77">
        <f t="shared" si="13"/>
        <v>-29.038008430853868</v>
      </c>
      <c r="M85" s="77" t="e">
        <f t="shared" si="14"/>
        <v>#DIV/0!</v>
      </c>
      <c r="N85" s="77" t="e">
        <f t="shared" si="15"/>
        <v>#DIV/0!</v>
      </c>
      <c r="O85" s="79" t="e">
        <f t="shared" si="16"/>
        <v>#DIV/0!</v>
      </c>
      <c r="Q85" s="81">
        <f t="shared" si="17"/>
        <v>-29.038008430853868</v>
      </c>
      <c r="R85" s="78">
        <f t="shared" si="21"/>
        <v>0</v>
      </c>
      <c r="S85" s="77">
        <f t="shared" si="18"/>
        <v>0</v>
      </c>
      <c r="T85" s="79">
        <f t="shared" si="19"/>
        <v>0</v>
      </c>
    </row>
    <row r="86" spans="1:20">
      <c r="A86" s="40" t="s">
        <v>75</v>
      </c>
      <c r="B86" s="176">
        <f>'1.Reel GSYH '!B84</f>
        <v>27665035933</v>
      </c>
      <c r="C86" s="83"/>
      <c r="D86" s="175">
        <f>'1.Reel GSYH '!Q84</f>
        <v>0</v>
      </c>
      <c r="E86" s="72">
        <f>'1.Reel GSYH '!R84</f>
        <v>0</v>
      </c>
      <c r="F86" s="176">
        <f>'1.Reel GSYH '!S84</f>
        <v>0</v>
      </c>
      <c r="H86" s="81">
        <f t="shared" si="11"/>
        <v>0</v>
      </c>
      <c r="I86" s="78">
        <f t="shared" si="20"/>
        <v>0</v>
      </c>
      <c r="J86" s="79">
        <f t="shared" si="12"/>
        <v>0</v>
      </c>
      <c r="K86" s="182"/>
      <c r="L86" s="77">
        <f t="shared" si="13"/>
        <v>4.6261410705870532</v>
      </c>
      <c r="M86" s="77" t="e">
        <f t="shared" si="14"/>
        <v>#DIV/0!</v>
      </c>
      <c r="N86" s="77" t="e">
        <f t="shared" si="15"/>
        <v>#DIV/0!</v>
      </c>
      <c r="O86" s="79" t="e">
        <f t="shared" si="16"/>
        <v>#DIV/0!</v>
      </c>
      <c r="Q86" s="81">
        <f t="shared" si="17"/>
        <v>4.6261410705870532</v>
      </c>
      <c r="R86" s="78">
        <f t="shared" si="21"/>
        <v>0</v>
      </c>
      <c r="S86" s="77">
        <f t="shared" si="18"/>
        <v>0</v>
      </c>
      <c r="T86" s="79">
        <f t="shared" si="19"/>
        <v>0</v>
      </c>
    </row>
    <row r="87" spans="1:20">
      <c r="A87" s="40" t="s">
        <v>76</v>
      </c>
      <c r="B87" s="176">
        <f>'1.Reel GSYH '!B85</f>
        <v>29159906635.900002</v>
      </c>
      <c r="C87" s="83"/>
      <c r="D87" s="175">
        <f>'1.Reel GSYH '!Q85</f>
        <v>0</v>
      </c>
      <c r="E87" s="72">
        <f>'1.Reel GSYH '!R85</f>
        <v>0</v>
      </c>
      <c r="F87" s="176">
        <f>'1.Reel GSYH '!S85</f>
        <v>0</v>
      </c>
      <c r="H87" s="81">
        <f t="shared" si="11"/>
        <v>0</v>
      </c>
      <c r="I87" s="78">
        <f t="shared" si="20"/>
        <v>0</v>
      </c>
      <c r="J87" s="79">
        <f t="shared" si="12"/>
        <v>0</v>
      </c>
      <c r="K87" s="182"/>
      <c r="L87" s="77">
        <f t="shared" si="13"/>
        <v>42.227381138869013</v>
      </c>
      <c r="M87" s="77" t="e">
        <f t="shared" si="14"/>
        <v>#DIV/0!</v>
      </c>
      <c r="N87" s="77" t="e">
        <f t="shared" si="15"/>
        <v>#DIV/0!</v>
      </c>
      <c r="O87" s="79" t="e">
        <f t="shared" si="16"/>
        <v>#DIV/0!</v>
      </c>
      <c r="Q87" s="81">
        <f t="shared" si="17"/>
        <v>42.227381138869013</v>
      </c>
      <c r="R87" s="78">
        <f t="shared" si="21"/>
        <v>0</v>
      </c>
      <c r="S87" s="77">
        <f t="shared" si="18"/>
        <v>0</v>
      </c>
      <c r="T87" s="79">
        <f t="shared" si="19"/>
        <v>0</v>
      </c>
    </row>
    <row r="88" spans="1:20">
      <c r="A88" s="40" t="s">
        <v>77</v>
      </c>
      <c r="B88" s="176">
        <f>'1.Reel GSYH '!B86</f>
        <v>39907166233.800003</v>
      </c>
      <c r="C88" s="83"/>
      <c r="D88" s="175">
        <f>'1.Reel GSYH '!Q86</f>
        <v>0</v>
      </c>
      <c r="E88" s="72">
        <f>'1.Reel GSYH '!R86</f>
        <v>0</v>
      </c>
      <c r="F88" s="176">
        <f>'1.Reel GSYH '!S86</f>
        <v>0</v>
      </c>
      <c r="H88" s="81">
        <f t="shared" ref="H88:H105" si="22">D88/$B88*100</f>
        <v>0</v>
      </c>
      <c r="I88" s="78">
        <f t="shared" si="20"/>
        <v>0</v>
      </c>
      <c r="J88" s="79">
        <f t="shared" ref="J88:J105" si="23">F88/$B88*100</f>
        <v>0</v>
      </c>
      <c r="K88" s="182"/>
      <c r="L88" s="77">
        <f t="shared" si="13"/>
        <v>106.89095150552484</v>
      </c>
      <c r="M88" s="77" t="e">
        <f t="shared" si="14"/>
        <v>#DIV/0!</v>
      </c>
      <c r="N88" s="77" t="e">
        <f t="shared" si="15"/>
        <v>#DIV/0!</v>
      </c>
      <c r="O88" s="79" t="e">
        <f t="shared" si="16"/>
        <v>#DIV/0!</v>
      </c>
      <c r="Q88" s="81">
        <f t="shared" si="17"/>
        <v>106.89095150552484</v>
      </c>
      <c r="R88" s="78">
        <f t="shared" si="21"/>
        <v>0</v>
      </c>
      <c r="S88" s="77">
        <f t="shared" si="18"/>
        <v>0</v>
      </c>
      <c r="T88" s="79">
        <f t="shared" si="19"/>
        <v>0</v>
      </c>
    </row>
    <row r="89" spans="1:20">
      <c r="A89" s="40" t="s">
        <v>78</v>
      </c>
      <c r="B89" s="176">
        <f>'1.Reel GSYH '!B87</f>
        <v>42580232041.599998</v>
      </c>
      <c r="C89" s="83"/>
      <c r="D89" s="175">
        <f>'1.Reel GSYH '!Q87</f>
        <v>0</v>
      </c>
      <c r="E89" s="72">
        <f>'1.Reel GSYH '!R87</f>
        <v>0</v>
      </c>
      <c r="F89" s="176">
        <f>'1.Reel GSYH '!S87</f>
        <v>0</v>
      </c>
      <c r="H89" s="81">
        <f t="shared" si="22"/>
        <v>0</v>
      </c>
      <c r="I89" s="78">
        <f t="shared" si="20"/>
        <v>0</v>
      </c>
      <c r="J89" s="79">
        <f t="shared" si="23"/>
        <v>0</v>
      </c>
      <c r="K89" s="182"/>
      <c r="L89" s="77">
        <f t="shared" si="13"/>
        <v>104.46611228781313</v>
      </c>
      <c r="M89" s="77" t="e">
        <f t="shared" si="14"/>
        <v>#DIV/0!</v>
      </c>
      <c r="N89" s="77" t="e">
        <f t="shared" si="15"/>
        <v>#DIV/0!</v>
      </c>
      <c r="O89" s="79" t="e">
        <f t="shared" si="16"/>
        <v>#DIV/0!</v>
      </c>
      <c r="Q89" s="81">
        <f t="shared" si="17"/>
        <v>104.46611228781313</v>
      </c>
      <c r="R89" s="78">
        <f t="shared" si="21"/>
        <v>0</v>
      </c>
      <c r="S89" s="77">
        <f t="shared" si="18"/>
        <v>0</v>
      </c>
      <c r="T89" s="79">
        <f t="shared" si="19"/>
        <v>0</v>
      </c>
    </row>
    <row r="90" spans="1:20">
      <c r="A90" s="40" t="s">
        <v>79</v>
      </c>
      <c r="B90" s="176">
        <f>'1.Reel GSYH '!B88</f>
        <v>46772362973.099998</v>
      </c>
      <c r="C90" s="83"/>
      <c r="D90" s="175">
        <f>'1.Reel GSYH '!Q88</f>
        <v>0</v>
      </c>
      <c r="E90" s="72">
        <f>'1.Reel GSYH '!R88</f>
        <v>0</v>
      </c>
      <c r="F90" s="176">
        <f>'1.Reel GSYH '!S88</f>
        <v>0</v>
      </c>
      <c r="H90" s="81">
        <f t="shared" si="22"/>
        <v>0</v>
      </c>
      <c r="I90" s="78">
        <f t="shared" si="20"/>
        <v>0</v>
      </c>
      <c r="J90" s="79">
        <f t="shared" si="23"/>
        <v>0</v>
      </c>
      <c r="K90" s="182"/>
      <c r="L90" s="77">
        <f t="shared" si="13"/>
        <v>69.066698797625591</v>
      </c>
      <c r="M90" s="77" t="e">
        <f t="shared" si="14"/>
        <v>#DIV/0!</v>
      </c>
      <c r="N90" s="77" t="e">
        <f t="shared" si="15"/>
        <v>#DIV/0!</v>
      </c>
      <c r="O90" s="79" t="e">
        <f t="shared" si="16"/>
        <v>#DIV/0!</v>
      </c>
      <c r="Q90" s="81">
        <f t="shared" si="17"/>
        <v>69.066698797625591</v>
      </c>
      <c r="R90" s="78">
        <f t="shared" si="21"/>
        <v>0</v>
      </c>
      <c r="S90" s="77">
        <f t="shared" si="18"/>
        <v>0</v>
      </c>
      <c r="T90" s="79">
        <f t="shared" si="19"/>
        <v>0</v>
      </c>
    </row>
    <row r="91" spans="1:20">
      <c r="A91" s="40" t="s">
        <v>80</v>
      </c>
      <c r="B91" s="176">
        <f>'1.Reel GSYH '!B89</f>
        <v>39834950598.699997</v>
      </c>
      <c r="C91" s="83"/>
      <c r="D91" s="175">
        <f>'1.Reel GSYH '!Q89</f>
        <v>0</v>
      </c>
      <c r="E91" s="72">
        <f>'1.Reel GSYH '!R89</f>
        <v>0</v>
      </c>
      <c r="F91" s="176">
        <f>'1.Reel GSYH '!S89</f>
        <v>0</v>
      </c>
      <c r="H91" s="81">
        <f t="shared" si="22"/>
        <v>0</v>
      </c>
      <c r="I91" s="78">
        <f t="shared" si="20"/>
        <v>0</v>
      </c>
      <c r="J91" s="79">
        <f t="shared" si="23"/>
        <v>0</v>
      </c>
      <c r="K91" s="182"/>
      <c r="L91" s="77">
        <f t="shared" si="13"/>
        <v>36.608635603988859</v>
      </c>
      <c r="M91" s="77" t="e">
        <f t="shared" si="14"/>
        <v>#DIV/0!</v>
      </c>
      <c r="N91" s="77" t="e">
        <f t="shared" si="15"/>
        <v>#DIV/0!</v>
      </c>
      <c r="O91" s="79" t="e">
        <f t="shared" si="16"/>
        <v>#DIV/0!</v>
      </c>
      <c r="Q91" s="81">
        <f t="shared" si="17"/>
        <v>36.608635603988859</v>
      </c>
      <c r="R91" s="78">
        <f t="shared" si="21"/>
        <v>0</v>
      </c>
      <c r="S91" s="77">
        <f t="shared" si="18"/>
        <v>0</v>
      </c>
      <c r="T91" s="79">
        <f t="shared" si="19"/>
        <v>0</v>
      </c>
    </row>
    <row r="92" spans="1:20">
      <c r="A92" s="40" t="s">
        <v>81</v>
      </c>
      <c r="B92" s="176">
        <f>'1.Reel GSYH '!B90</f>
        <v>41440750365.200012</v>
      </c>
      <c r="C92" s="83"/>
      <c r="D92" s="175">
        <f>'1.Reel GSYH '!Q90</f>
        <v>0</v>
      </c>
      <c r="E92" s="72">
        <f>'1.Reel GSYH '!R90</f>
        <v>0</v>
      </c>
      <c r="F92" s="176">
        <f>'1.Reel GSYH '!S90</f>
        <v>0</v>
      </c>
      <c r="H92" s="81">
        <f t="shared" si="22"/>
        <v>0</v>
      </c>
      <c r="I92" s="78">
        <f t="shared" si="20"/>
        <v>0</v>
      </c>
      <c r="J92" s="79">
        <f t="shared" si="23"/>
        <v>0</v>
      </c>
      <c r="K92" s="182"/>
      <c r="L92" s="77">
        <f t="shared" ref="L92:L105" si="24">(B92/B88-1)*100</f>
        <v>3.8428790518859612</v>
      </c>
      <c r="M92" s="77" t="e">
        <f t="shared" ref="M92:M105" si="25">(D92/D88-1)*100</f>
        <v>#DIV/0!</v>
      </c>
      <c r="N92" s="77" t="e">
        <f t="shared" ref="N92:N105" si="26">(E92/E88-1)*100</f>
        <v>#DIV/0!</v>
      </c>
      <c r="O92" s="79" t="e">
        <f t="shared" ref="O92:O105" si="27">(F92/F88-1)*100</f>
        <v>#DIV/0!</v>
      </c>
      <c r="Q92" s="81">
        <f t="shared" ref="Q92:Q105" si="28">(B92/B88-1)*100</f>
        <v>3.8428790518859612</v>
      </c>
      <c r="R92" s="78">
        <f t="shared" si="21"/>
        <v>0</v>
      </c>
      <c r="S92" s="77">
        <f t="shared" ref="S92:S105" si="29">((E92-E88)/$B88)*100</f>
        <v>0</v>
      </c>
      <c r="T92" s="79">
        <f t="shared" ref="T92:T105" si="30">((F92-F88)/$B88)*100</f>
        <v>0</v>
      </c>
    </row>
    <row r="93" spans="1:20">
      <c r="A93" s="40" t="s">
        <v>82</v>
      </c>
      <c r="B93" s="176">
        <f>'1.Reel GSYH '!B91</f>
        <v>42121452877.300003</v>
      </c>
      <c r="C93" s="83"/>
      <c r="D93" s="175">
        <f>'1.Reel GSYH '!Q91</f>
        <v>0</v>
      </c>
      <c r="E93" s="72">
        <f>'1.Reel GSYH '!R91</f>
        <v>0</v>
      </c>
      <c r="F93" s="176">
        <f>'1.Reel GSYH '!S91</f>
        <v>0</v>
      </c>
      <c r="H93" s="81">
        <f t="shared" si="22"/>
        <v>0</v>
      </c>
      <c r="I93" s="78">
        <f t="shared" si="20"/>
        <v>0</v>
      </c>
      <c r="J93" s="79">
        <f t="shared" si="23"/>
        <v>0</v>
      </c>
      <c r="K93" s="182"/>
      <c r="L93" s="77">
        <f t="shared" si="24"/>
        <v>-1.0774463696012204</v>
      </c>
      <c r="M93" s="77" t="e">
        <f t="shared" si="25"/>
        <v>#DIV/0!</v>
      </c>
      <c r="N93" s="77" t="e">
        <f t="shared" si="26"/>
        <v>#DIV/0!</v>
      </c>
      <c r="O93" s="79" t="e">
        <f t="shared" si="27"/>
        <v>#DIV/0!</v>
      </c>
      <c r="Q93" s="81">
        <f t="shared" si="28"/>
        <v>-1.0774463696012204</v>
      </c>
      <c r="R93" s="78">
        <f t="shared" si="21"/>
        <v>0</v>
      </c>
      <c r="S93" s="77">
        <f t="shared" si="29"/>
        <v>0</v>
      </c>
      <c r="T93" s="79">
        <f t="shared" si="30"/>
        <v>0</v>
      </c>
    </row>
    <row r="94" spans="1:20">
      <c r="A94" s="40" t="s">
        <v>83</v>
      </c>
      <c r="B94" s="176">
        <f>'1.Reel GSYH '!B92</f>
        <v>42119215604.5</v>
      </c>
      <c r="C94" s="83"/>
      <c r="D94" s="175">
        <f>'1.Reel GSYH '!Q92</f>
        <v>0</v>
      </c>
      <c r="E94" s="72">
        <f>'1.Reel GSYH '!R92</f>
        <v>0</v>
      </c>
      <c r="F94" s="176">
        <f>'1.Reel GSYH '!S92</f>
        <v>0</v>
      </c>
      <c r="H94" s="81">
        <f t="shared" si="22"/>
        <v>0</v>
      </c>
      <c r="I94" s="78">
        <f t="shared" si="20"/>
        <v>0</v>
      </c>
      <c r="J94" s="79">
        <f t="shared" si="23"/>
        <v>0</v>
      </c>
      <c r="K94" s="182"/>
      <c r="L94" s="77">
        <f t="shared" si="24"/>
        <v>-9.9484975160997191</v>
      </c>
      <c r="M94" s="77" t="e">
        <f t="shared" si="25"/>
        <v>#DIV/0!</v>
      </c>
      <c r="N94" s="77" t="e">
        <f t="shared" si="26"/>
        <v>#DIV/0!</v>
      </c>
      <c r="O94" s="79" t="e">
        <f t="shared" si="27"/>
        <v>#DIV/0!</v>
      </c>
      <c r="Q94" s="81">
        <f t="shared" si="28"/>
        <v>-9.9484975160997191</v>
      </c>
      <c r="R94" s="78">
        <f t="shared" si="21"/>
        <v>0</v>
      </c>
      <c r="S94" s="77">
        <f t="shared" si="29"/>
        <v>0</v>
      </c>
      <c r="T94" s="79">
        <f t="shared" si="30"/>
        <v>0</v>
      </c>
    </row>
    <row r="95" spans="1:20">
      <c r="A95" s="40" t="s">
        <v>84</v>
      </c>
      <c r="B95" s="176">
        <f>'1.Reel GSYH '!B93</f>
        <v>56604351982.300003</v>
      </c>
      <c r="C95" s="83"/>
      <c r="D95" s="175">
        <f>'1.Reel GSYH '!Q93</f>
        <v>0</v>
      </c>
      <c r="E95" s="72">
        <f>'1.Reel GSYH '!R93</f>
        <v>0</v>
      </c>
      <c r="F95" s="176">
        <f>'1.Reel GSYH '!S93</f>
        <v>0</v>
      </c>
      <c r="H95" s="81">
        <f t="shared" si="22"/>
        <v>0</v>
      </c>
      <c r="I95" s="78">
        <f t="shared" si="20"/>
        <v>0</v>
      </c>
      <c r="J95" s="79">
        <f t="shared" si="23"/>
        <v>0</v>
      </c>
      <c r="K95" s="182"/>
      <c r="L95" s="77">
        <f t="shared" si="24"/>
        <v>42.097206426929205</v>
      </c>
      <c r="M95" s="77" t="e">
        <f t="shared" si="25"/>
        <v>#DIV/0!</v>
      </c>
      <c r="N95" s="77" t="e">
        <f t="shared" si="26"/>
        <v>#DIV/0!</v>
      </c>
      <c r="O95" s="79" t="e">
        <f t="shared" si="27"/>
        <v>#DIV/0!</v>
      </c>
      <c r="Q95" s="81">
        <f t="shared" si="28"/>
        <v>42.097206426929205</v>
      </c>
      <c r="R95" s="78">
        <f t="shared" si="21"/>
        <v>0</v>
      </c>
      <c r="S95" s="77">
        <f t="shared" si="29"/>
        <v>0</v>
      </c>
      <c r="T95" s="79">
        <f t="shared" si="30"/>
        <v>0</v>
      </c>
    </row>
    <row r="96" spans="1:20">
      <c r="A96" s="40" t="s">
        <v>85</v>
      </c>
      <c r="B96" s="176">
        <f>'1.Reel GSYH '!B94</f>
        <v>53961564045.899994</v>
      </c>
      <c r="C96" s="83"/>
      <c r="D96" s="175">
        <f>'1.Reel GSYH '!Q94</f>
        <v>0</v>
      </c>
      <c r="E96" s="72">
        <f>'1.Reel GSYH '!R94</f>
        <v>0</v>
      </c>
      <c r="F96" s="176">
        <f>'1.Reel GSYH '!S94</f>
        <v>0</v>
      </c>
      <c r="H96" s="81">
        <f t="shared" si="22"/>
        <v>0</v>
      </c>
      <c r="I96" s="78">
        <f t="shared" si="20"/>
        <v>0</v>
      </c>
      <c r="J96" s="79">
        <f t="shared" si="23"/>
        <v>0</v>
      </c>
      <c r="K96" s="182"/>
      <c r="L96" s="77">
        <f t="shared" si="24"/>
        <v>30.213771638687238</v>
      </c>
      <c r="M96" s="77" t="e">
        <f t="shared" si="25"/>
        <v>#DIV/0!</v>
      </c>
      <c r="N96" s="77" t="e">
        <f t="shared" si="26"/>
        <v>#DIV/0!</v>
      </c>
      <c r="O96" s="79" t="e">
        <f t="shared" si="27"/>
        <v>#DIV/0!</v>
      </c>
      <c r="Q96" s="81">
        <f t="shared" si="28"/>
        <v>30.213771638687238</v>
      </c>
      <c r="R96" s="78">
        <f t="shared" si="21"/>
        <v>0</v>
      </c>
      <c r="S96" s="77">
        <f t="shared" si="29"/>
        <v>0</v>
      </c>
      <c r="T96" s="79">
        <f t="shared" si="30"/>
        <v>0</v>
      </c>
    </row>
    <row r="97" spans="1:20">
      <c r="A97" s="40" t="s">
        <v>86</v>
      </c>
      <c r="B97" s="176">
        <f>'1.Reel GSYH '!B95</f>
        <v>57833911408.300003</v>
      </c>
      <c r="C97" s="83"/>
      <c r="D97" s="175">
        <f>'1.Reel GSYH '!Q95</f>
        <v>0</v>
      </c>
      <c r="E97" s="72">
        <f>'1.Reel GSYH '!R95</f>
        <v>0</v>
      </c>
      <c r="F97" s="176">
        <f>'1.Reel GSYH '!S95</f>
        <v>0</v>
      </c>
      <c r="H97" s="81">
        <f t="shared" si="22"/>
        <v>0</v>
      </c>
      <c r="I97" s="78">
        <f t="shared" si="20"/>
        <v>0</v>
      </c>
      <c r="J97" s="79">
        <f t="shared" si="23"/>
        <v>0</v>
      </c>
      <c r="K97" s="182"/>
      <c r="L97" s="77">
        <f t="shared" si="24"/>
        <v>37.302745887637045</v>
      </c>
      <c r="M97" s="77" t="e">
        <f t="shared" si="25"/>
        <v>#DIV/0!</v>
      </c>
      <c r="N97" s="77" t="e">
        <f t="shared" si="26"/>
        <v>#DIV/0!</v>
      </c>
      <c r="O97" s="79" t="e">
        <f t="shared" si="27"/>
        <v>#DIV/0!</v>
      </c>
      <c r="Q97" s="81">
        <f t="shared" si="28"/>
        <v>37.302745887637045</v>
      </c>
      <c r="R97" s="78">
        <f t="shared" si="21"/>
        <v>0</v>
      </c>
      <c r="S97" s="77">
        <f t="shared" si="29"/>
        <v>0</v>
      </c>
      <c r="T97" s="79">
        <f t="shared" si="30"/>
        <v>0</v>
      </c>
    </row>
    <row r="98" spans="1:20">
      <c r="A98" s="40" t="s">
        <v>87</v>
      </c>
      <c r="B98" s="176">
        <f>'1.Reel GSYH '!B96</f>
        <v>50752241233.100006</v>
      </c>
      <c r="C98" s="83"/>
      <c r="D98" s="175">
        <f>'1.Reel GSYH '!Q96</f>
        <v>0</v>
      </c>
      <c r="E98" s="72">
        <f>'1.Reel GSYH '!R96</f>
        <v>0</v>
      </c>
      <c r="F98" s="176">
        <f>'1.Reel GSYH '!S96</f>
        <v>0</v>
      </c>
      <c r="H98" s="81">
        <f t="shared" si="22"/>
        <v>0</v>
      </c>
      <c r="I98" s="78">
        <f t="shared" si="20"/>
        <v>0</v>
      </c>
      <c r="J98" s="79">
        <f t="shared" si="23"/>
        <v>0</v>
      </c>
      <c r="K98" s="182"/>
      <c r="L98" s="77">
        <f t="shared" si="24"/>
        <v>20.496643882602726</v>
      </c>
      <c r="M98" s="77" t="e">
        <f t="shared" si="25"/>
        <v>#DIV/0!</v>
      </c>
      <c r="N98" s="77" t="e">
        <f t="shared" si="26"/>
        <v>#DIV/0!</v>
      </c>
      <c r="O98" s="79" t="e">
        <f t="shared" si="27"/>
        <v>#DIV/0!</v>
      </c>
      <c r="Q98" s="81">
        <f t="shared" si="28"/>
        <v>20.496643882602726</v>
      </c>
      <c r="R98" s="78">
        <f t="shared" si="21"/>
        <v>0</v>
      </c>
      <c r="S98" s="77">
        <f t="shared" si="29"/>
        <v>0</v>
      </c>
      <c r="T98" s="79">
        <f t="shared" si="30"/>
        <v>0</v>
      </c>
    </row>
    <row r="99" spans="1:20">
      <c r="A99" s="40" t="s">
        <v>88</v>
      </c>
      <c r="B99" s="176">
        <f>'1.Reel GSYH '!B97</f>
        <v>60286283016.900009</v>
      </c>
      <c r="C99" s="83"/>
      <c r="D99" s="175">
        <f>'1.Reel GSYH '!Q97</f>
        <v>0</v>
      </c>
      <c r="E99" s="72">
        <f>'1.Reel GSYH '!R97</f>
        <v>0</v>
      </c>
      <c r="F99" s="176">
        <f>'1.Reel GSYH '!S97</f>
        <v>0</v>
      </c>
      <c r="H99" s="81">
        <f t="shared" si="22"/>
        <v>0</v>
      </c>
      <c r="I99" s="78">
        <f t="shared" si="20"/>
        <v>0</v>
      </c>
      <c r="J99" s="79">
        <f t="shared" si="23"/>
        <v>0</v>
      </c>
      <c r="K99" s="182"/>
      <c r="L99" s="77">
        <f t="shared" si="24"/>
        <v>6.5046783606874214</v>
      </c>
      <c r="M99" s="77" t="e">
        <f t="shared" si="25"/>
        <v>#DIV/0!</v>
      </c>
      <c r="N99" s="77" t="e">
        <f t="shared" si="26"/>
        <v>#DIV/0!</v>
      </c>
      <c r="O99" s="79" t="e">
        <f t="shared" si="27"/>
        <v>#DIV/0!</v>
      </c>
      <c r="Q99" s="81">
        <f t="shared" si="28"/>
        <v>6.5046783606874214</v>
      </c>
      <c r="R99" s="78">
        <f t="shared" si="21"/>
        <v>0</v>
      </c>
      <c r="S99" s="77">
        <f t="shared" si="29"/>
        <v>0</v>
      </c>
      <c r="T99" s="79">
        <f t="shared" si="30"/>
        <v>0</v>
      </c>
    </row>
    <row r="100" spans="1:20">
      <c r="A100" s="40" t="s">
        <v>89</v>
      </c>
      <c r="B100" s="176">
        <f>'1.Reel GSYH '!B98</f>
        <v>66593699020.699997</v>
      </c>
      <c r="C100" s="83"/>
      <c r="D100" s="175">
        <f>'1.Reel GSYH '!Q98</f>
        <v>0</v>
      </c>
      <c r="E100" s="72">
        <f>'1.Reel GSYH '!R98</f>
        <v>0</v>
      </c>
      <c r="F100" s="176">
        <f>'1.Reel GSYH '!S98</f>
        <v>0</v>
      </c>
      <c r="H100" s="81">
        <f t="shared" si="22"/>
        <v>0</v>
      </c>
      <c r="I100" s="78">
        <f t="shared" si="20"/>
        <v>0</v>
      </c>
      <c r="J100" s="79">
        <f t="shared" si="23"/>
        <v>0</v>
      </c>
      <c r="K100" s="182"/>
      <c r="L100" s="77">
        <f t="shared" si="24"/>
        <v>23.409504891398324</v>
      </c>
      <c r="M100" s="77" t="e">
        <f t="shared" si="25"/>
        <v>#DIV/0!</v>
      </c>
      <c r="N100" s="77" t="e">
        <f t="shared" si="26"/>
        <v>#DIV/0!</v>
      </c>
      <c r="O100" s="79" t="e">
        <f t="shared" si="27"/>
        <v>#DIV/0!</v>
      </c>
      <c r="Q100" s="81">
        <f t="shared" si="28"/>
        <v>23.409504891398324</v>
      </c>
      <c r="R100" s="78">
        <f t="shared" si="21"/>
        <v>0</v>
      </c>
      <c r="S100" s="77">
        <f t="shared" si="29"/>
        <v>0</v>
      </c>
      <c r="T100" s="79">
        <f t="shared" si="30"/>
        <v>0</v>
      </c>
    </row>
    <row r="101" spans="1:20">
      <c r="A101" s="40" t="s">
        <v>90</v>
      </c>
      <c r="B101" s="176">
        <f>'1.Reel GSYH '!B99</f>
        <v>74078965549.699997</v>
      </c>
      <c r="C101" s="83"/>
      <c r="D101" s="175">
        <f>'1.Reel GSYH '!Q99</f>
        <v>0</v>
      </c>
      <c r="E101" s="72">
        <f>'1.Reel GSYH '!R99</f>
        <v>0</v>
      </c>
      <c r="F101" s="176">
        <f>'1.Reel GSYH '!S99</f>
        <v>0</v>
      </c>
      <c r="H101" s="81">
        <f t="shared" si="22"/>
        <v>0</v>
      </c>
      <c r="I101" s="78">
        <f t="shared" si="20"/>
        <v>0</v>
      </c>
      <c r="J101" s="79">
        <f t="shared" si="23"/>
        <v>0</v>
      </c>
      <c r="K101" s="182"/>
      <c r="L101" s="77">
        <f t="shared" si="24"/>
        <v>28.089150026032293</v>
      </c>
      <c r="M101" s="77" t="e">
        <f t="shared" si="25"/>
        <v>#DIV/0!</v>
      </c>
      <c r="N101" s="77" t="e">
        <f t="shared" si="26"/>
        <v>#DIV/0!</v>
      </c>
      <c r="O101" s="79" t="e">
        <f t="shared" si="27"/>
        <v>#DIV/0!</v>
      </c>
      <c r="Q101" s="81">
        <f t="shared" si="28"/>
        <v>28.089150026032293</v>
      </c>
      <c r="R101" s="78">
        <f t="shared" si="21"/>
        <v>0</v>
      </c>
      <c r="S101" s="77">
        <f t="shared" si="29"/>
        <v>0</v>
      </c>
      <c r="T101" s="79">
        <f t="shared" si="30"/>
        <v>0</v>
      </c>
    </row>
    <row r="102" spans="1:20">
      <c r="A102" s="40" t="s">
        <v>91</v>
      </c>
      <c r="B102" s="176">
        <f>'1.Reel GSYH '!B100</f>
        <v>75965055468.199997</v>
      </c>
      <c r="C102" s="83"/>
      <c r="D102" s="175">
        <f>'1.Reel GSYH '!Q100</f>
        <v>0</v>
      </c>
      <c r="E102" s="72">
        <f>'1.Reel GSYH '!R100</f>
        <v>0</v>
      </c>
      <c r="F102" s="176">
        <f>'1.Reel GSYH '!S100</f>
        <v>0</v>
      </c>
      <c r="H102" s="81">
        <f t="shared" si="22"/>
        <v>0</v>
      </c>
      <c r="I102" s="78">
        <f t="shared" si="20"/>
        <v>0</v>
      </c>
      <c r="J102" s="79">
        <f t="shared" si="23"/>
        <v>0</v>
      </c>
      <c r="K102" s="182"/>
      <c r="L102" s="77">
        <f t="shared" si="24"/>
        <v>49.678228236857635</v>
      </c>
      <c r="M102" s="77" t="e">
        <f t="shared" si="25"/>
        <v>#DIV/0!</v>
      </c>
      <c r="N102" s="77" t="e">
        <f t="shared" si="26"/>
        <v>#DIV/0!</v>
      </c>
      <c r="O102" s="79" t="e">
        <f t="shared" si="27"/>
        <v>#DIV/0!</v>
      </c>
      <c r="Q102" s="81">
        <f t="shared" si="28"/>
        <v>49.678228236857635</v>
      </c>
      <c r="R102" s="78">
        <f t="shared" si="21"/>
        <v>0</v>
      </c>
      <c r="S102" s="77">
        <f t="shared" si="29"/>
        <v>0</v>
      </c>
      <c r="T102" s="79">
        <f t="shared" si="30"/>
        <v>0</v>
      </c>
    </row>
    <row r="103" spans="1:20">
      <c r="A103" s="40" t="s">
        <v>92</v>
      </c>
      <c r="B103" s="176">
        <f>'1.Reel GSYH '!B101</f>
        <v>81563419887.600006</v>
      </c>
      <c r="C103" s="83"/>
      <c r="D103" s="175">
        <f>'1.Reel GSYH '!Q101</f>
        <v>0</v>
      </c>
      <c r="E103" s="72">
        <f>'1.Reel GSYH '!R101</f>
        <v>0</v>
      </c>
      <c r="F103" s="176">
        <f>'1.Reel GSYH '!S101</f>
        <v>0</v>
      </c>
      <c r="H103" s="81">
        <f t="shared" si="22"/>
        <v>0</v>
      </c>
      <c r="I103" s="78">
        <f t="shared" si="20"/>
        <v>0</v>
      </c>
      <c r="J103" s="79">
        <f t="shared" si="23"/>
        <v>0</v>
      </c>
      <c r="K103" s="182"/>
      <c r="L103" s="77">
        <f t="shared" si="24"/>
        <v>35.293495976083648</v>
      </c>
      <c r="M103" s="77" t="e">
        <f t="shared" si="25"/>
        <v>#DIV/0!</v>
      </c>
      <c r="N103" s="77" t="e">
        <f t="shared" si="26"/>
        <v>#DIV/0!</v>
      </c>
      <c r="O103" s="79" t="e">
        <f t="shared" si="27"/>
        <v>#DIV/0!</v>
      </c>
      <c r="Q103" s="81">
        <f t="shared" si="28"/>
        <v>35.293495976083648</v>
      </c>
      <c r="R103" s="78">
        <f t="shared" si="21"/>
        <v>0</v>
      </c>
      <c r="S103" s="77">
        <f t="shared" si="29"/>
        <v>0</v>
      </c>
      <c r="T103" s="79">
        <f t="shared" si="30"/>
        <v>0</v>
      </c>
    </row>
    <row r="104" spans="1:20">
      <c r="A104" s="40" t="s">
        <v>106</v>
      </c>
      <c r="B104" s="176">
        <f>'1.Reel GSYH '!B102</f>
        <v>81319712216.899994</v>
      </c>
      <c r="C104" s="83"/>
      <c r="D104" s="175">
        <f>'1.Reel GSYH '!Q102</f>
        <v>0</v>
      </c>
      <c r="E104" s="72">
        <f>'1.Reel GSYH '!R102</f>
        <v>0</v>
      </c>
      <c r="F104" s="176">
        <f>'1.Reel GSYH '!S102</f>
        <v>0</v>
      </c>
      <c r="H104" s="81">
        <f t="shared" si="22"/>
        <v>0</v>
      </c>
      <c r="I104" s="78">
        <f t="shared" si="20"/>
        <v>0</v>
      </c>
      <c r="J104" s="79">
        <f t="shared" si="23"/>
        <v>0</v>
      </c>
      <c r="K104" s="182"/>
      <c r="L104" s="77">
        <f t="shared" si="24"/>
        <v>22.113223041751382</v>
      </c>
      <c r="M104" s="77" t="e">
        <f t="shared" si="25"/>
        <v>#DIV/0!</v>
      </c>
      <c r="N104" s="77" t="e">
        <f t="shared" si="26"/>
        <v>#DIV/0!</v>
      </c>
      <c r="O104" s="79" t="e">
        <f t="shared" si="27"/>
        <v>#DIV/0!</v>
      </c>
      <c r="Q104" s="81">
        <f t="shared" si="28"/>
        <v>22.113223041751382</v>
      </c>
      <c r="R104" s="78">
        <f t="shared" si="21"/>
        <v>0</v>
      </c>
      <c r="S104" s="77">
        <f t="shared" si="29"/>
        <v>0</v>
      </c>
      <c r="T104" s="79">
        <f t="shared" si="30"/>
        <v>0</v>
      </c>
    </row>
    <row r="105" spans="1:20" ht="14.4" thickBot="1">
      <c r="A105" s="40" t="s">
        <v>127</v>
      </c>
      <c r="B105" s="176">
        <f>'1.Reel GSYH '!B103</f>
        <v>78800443170.300003</v>
      </c>
      <c r="C105" s="72"/>
      <c r="D105" s="175">
        <f>'1.Reel GSYH '!Q103</f>
        <v>0</v>
      </c>
      <c r="E105" s="72">
        <f>'1.Reel GSYH '!R103</f>
        <v>0</v>
      </c>
      <c r="F105" s="176">
        <f>'1.Reel GSYH '!S103</f>
        <v>0</v>
      </c>
      <c r="G105" s="90"/>
      <c r="H105" s="96">
        <f t="shared" si="22"/>
        <v>0</v>
      </c>
      <c r="I105" s="78">
        <f t="shared" si="20"/>
        <v>0</v>
      </c>
      <c r="J105" s="94">
        <f t="shared" si="23"/>
        <v>0</v>
      </c>
      <c r="K105" s="183"/>
      <c r="L105" s="93">
        <f t="shared" si="24"/>
        <v>6.3735739093607302</v>
      </c>
      <c r="M105" s="93" t="e">
        <f t="shared" si="25"/>
        <v>#DIV/0!</v>
      </c>
      <c r="N105" s="93" t="e">
        <f t="shared" si="26"/>
        <v>#DIV/0!</v>
      </c>
      <c r="O105" s="94" t="e">
        <f t="shared" si="27"/>
        <v>#DIV/0!</v>
      </c>
      <c r="P105" s="90"/>
      <c r="Q105" s="96">
        <f t="shared" si="28"/>
        <v>6.3735739093607302</v>
      </c>
      <c r="R105" s="78">
        <f t="shared" si="21"/>
        <v>0</v>
      </c>
      <c r="S105" s="93">
        <f t="shared" si="29"/>
        <v>0</v>
      </c>
      <c r="T105" s="94">
        <f t="shared" si="30"/>
        <v>0</v>
      </c>
    </row>
    <row r="106" spans="1:20">
      <c r="B106" s="73"/>
      <c r="C106" s="73"/>
      <c r="D106" s="73"/>
      <c r="E106" s="73"/>
      <c r="F106" s="73"/>
      <c r="G106" s="179"/>
      <c r="H106" s="144"/>
      <c r="I106" s="115"/>
      <c r="J106" s="144"/>
      <c r="K106" s="179"/>
      <c r="L106" s="144"/>
      <c r="M106" s="144" t="s">
        <v>267</v>
      </c>
      <c r="N106" s="144"/>
      <c r="O106" s="144"/>
      <c r="P106" s="179"/>
      <c r="Q106" s="144"/>
      <c r="R106" s="115" t="s">
        <v>266</v>
      </c>
      <c r="S106" s="144"/>
      <c r="T106" s="144"/>
    </row>
    <row r="107" spans="1:20" ht="14.4" thickBot="1">
      <c r="B107" s="98"/>
      <c r="G107" s="179"/>
      <c r="H107" s="179"/>
      <c r="I107" s="179"/>
      <c r="J107" s="179"/>
      <c r="K107" s="179"/>
      <c r="L107" s="61" t="s">
        <v>219</v>
      </c>
      <c r="M107" s="61" t="s">
        <v>256</v>
      </c>
      <c r="N107" s="61" t="s">
        <v>217</v>
      </c>
      <c r="O107" s="61" t="s">
        <v>218</v>
      </c>
      <c r="P107" s="179"/>
      <c r="Q107" s="61" t="s">
        <v>219</v>
      </c>
      <c r="R107" s="61" t="s">
        <v>256</v>
      </c>
      <c r="S107" s="61" t="s">
        <v>217</v>
      </c>
      <c r="T107" s="61" t="s">
        <v>218</v>
      </c>
    </row>
    <row r="109" spans="1:20">
      <c r="A109" s="40" t="s">
        <v>249</v>
      </c>
      <c r="B109" s="74">
        <f>AVERAGE(B12:B31)</f>
        <v>0</v>
      </c>
      <c r="D109" s="74">
        <f t="shared" ref="D109:F109" si="31">AVERAGE(D12:D31)</f>
        <v>0</v>
      </c>
      <c r="E109" s="74">
        <f t="shared" si="31"/>
        <v>0</v>
      </c>
      <c r="F109" s="74">
        <f t="shared" si="31"/>
        <v>0</v>
      </c>
      <c r="H109" s="74" t="e">
        <f>AVERAGE(H12:H31)</f>
        <v>#DIV/0!</v>
      </c>
      <c r="I109" s="74" t="e">
        <f>AVERAGE(I12:I31)</f>
        <v>#DIV/0!</v>
      </c>
      <c r="J109" s="74" t="e">
        <f>AVERAGE(J12:J31)</f>
        <v>#DIV/0!</v>
      </c>
      <c r="K109" s="192" t="s">
        <v>249</v>
      </c>
      <c r="L109" s="74" t="e">
        <f t="shared" ref="L109:O109" si="32">AVERAGE(L12:L31)</f>
        <v>#DIV/0!</v>
      </c>
      <c r="M109" s="74" t="e">
        <f t="shared" si="32"/>
        <v>#DIV/0!</v>
      </c>
      <c r="N109" s="74" t="e">
        <f t="shared" si="32"/>
        <v>#DIV/0!</v>
      </c>
      <c r="O109" s="74" t="e">
        <f t="shared" si="32"/>
        <v>#DIV/0!</v>
      </c>
      <c r="P109" s="192" t="s">
        <v>249</v>
      </c>
      <c r="Q109" s="74" t="e">
        <f t="shared" ref="Q109:T109" si="33">AVERAGE(Q12:Q31)</f>
        <v>#DIV/0!</v>
      </c>
      <c r="R109" s="74" t="e">
        <f t="shared" si="33"/>
        <v>#DIV/0!</v>
      </c>
      <c r="S109" s="74" t="e">
        <f t="shared" si="33"/>
        <v>#DIV/0!</v>
      </c>
      <c r="T109" s="74" t="e">
        <f t="shared" si="33"/>
        <v>#DIV/0!</v>
      </c>
    </row>
    <row r="110" spans="1:20">
      <c r="A110" s="40" t="s">
        <v>250</v>
      </c>
      <c r="B110" s="74">
        <f>AVERAGE(B32:B51)</f>
        <v>0</v>
      </c>
      <c r="D110" s="74">
        <f t="shared" ref="D110:F110" si="34">AVERAGE(D32:D51)</f>
        <v>0</v>
      </c>
      <c r="E110" s="74">
        <f t="shared" si="34"/>
        <v>0</v>
      </c>
      <c r="F110" s="74">
        <f t="shared" si="34"/>
        <v>0</v>
      </c>
      <c r="H110" s="74" t="e">
        <f>AVERAGE(H32:H51)</f>
        <v>#DIV/0!</v>
      </c>
      <c r="I110" s="74" t="e">
        <f>AVERAGE(I32:I51)</f>
        <v>#DIV/0!</v>
      </c>
      <c r="J110" s="74" t="e">
        <f>AVERAGE(J32:J51)</f>
        <v>#DIV/0!</v>
      </c>
      <c r="K110" s="192" t="s">
        <v>250</v>
      </c>
      <c r="L110" s="74" t="e">
        <f t="shared" ref="L110:O110" si="35">AVERAGE(L32:L51)</f>
        <v>#DIV/0!</v>
      </c>
      <c r="M110" s="74" t="e">
        <f t="shared" si="35"/>
        <v>#DIV/0!</v>
      </c>
      <c r="N110" s="74" t="e">
        <f t="shared" si="35"/>
        <v>#DIV/0!</v>
      </c>
      <c r="O110" s="74" t="e">
        <f t="shared" si="35"/>
        <v>#DIV/0!</v>
      </c>
      <c r="P110" s="192" t="s">
        <v>250</v>
      </c>
      <c r="Q110" s="74" t="e">
        <f t="shared" ref="Q110:T110" si="36">AVERAGE(Q32:Q51)</f>
        <v>#DIV/0!</v>
      </c>
      <c r="R110" s="74" t="e">
        <f t="shared" si="36"/>
        <v>#DIV/0!</v>
      </c>
      <c r="S110" s="74" t="e">
        <f t="shared" si="36"/>
        <v>#DIV/0!</v>
      </c>
      <c r="T110" s="74" t="e">
        <f t="shared" si="36"/>
        <v>#DIV/0!</v>
      </c>
    </row>
    <row r="111" spans="1:20">
      <c r="A111" s="40" t="s">
        <v>251</v>
      </c>
      <c r="B111" s="74">
        <f>AVERAGE(B52:B71)</f>
        <v>0</v>
      </c>
      <c r="D111" s="74">
        <f t="shared" ref="D111:F111" si="37">AVERAGE(D52:D71)</f>
        <v>0</v>
      </c>
      <c r="E111" s="74">
        <f t="shared" si="37"/>
        <v>0</v>
      </c>
      <c r="F111" s="74">
        <f t="shared" si="37"/>
        <v>0</v>
      </c>
      <c r="H111" s="74" t="e">
        <f>AVERAGE(H52:H71)</f>
        <v>#DIV/0!</v>
      </c>
      <c r="I111" s="74" t="e">
        <f>AVERAGE(I52:I71)</f>
        <v>#DIV/0!</v>
      </c>
      <c r="J111" s="74" t="e">
        <f>AVERAGE(J52:J71)</f>
        <v>#DIV/0!</v>
      </c>
      <c r="K111" s="192" t="s">
        <v>251</v>
      </c>
      <c r="L111" s="74" t="e">
        <f t="shared" ref="L111:O111" si="38">AVERAGE(L52:L71)</f>
        <v>#DIV/0!</v>
      </c>
      <c r="M111" s="74" t="e">
        <f t="shared" si="38"/>
        <v>#DIV/0!</v>
      </c>
      <c r="N111" s="74" t="e">
        <f t="shared" si="38"/>
        <v>#DIV/0!</v>
      </c>
      <c r="O111" s="74" t="e">
        <f t="shared" si="38"/>
        <v>#DIV/0!</v>
      </c>
      <c r="P111" s="192" t="s">
        <v>251</v>
      </c>
      <c r="Q111" s="74" t="e">
        <f t="shared" ref="Q111:T111" si="39">AVERAGE(Q52:Q71)</f>
        <v>#DIV/0!</v>
      </c>
      <c r="R111" s="74" t="e">
        <f t="shared" si="39"/>
        <v>#DIV/0!</v>
      </c>
      <c r="S111" s="74" t="e">
        <f t="shared" si="39"/>
        <v>#DIV/0!</v>
      </c>
      <c r="T111" s="74" t="e">
        <f t="shared" si="39"/>
        <v>#DIV/0!</v>
      </c>
    </row>
    <row r="112" spans="1:20">
      <c r="A112" s="40" t="s">
        <v>252</v>
      </c>
      <c r="B112" s="74">
        <f>AVERAGE(B72:B91)</f>
        <v>28352419753.859997</v>
      </c>
      <c r="D112" s="74">
        <f t="shared" ref="D112:F112" si="40">AVERAGE(D72:D91)</f>
        <v>0</v>
      </c>
      <c r="E112" s="74">
        <f t="shared" si="40"/>
        <v>0</v>
      </c>
      <c r="F112" s="74">
        <f t="shared" si="40"/>
        <v>0</v>
      </c>
      <c r="H112" s="74" t="e">
        <f>AVERAGE(H72:H91)</f>
        <v>#DIV/0!</v>
      </c>
      <c r="I112" s="74" t="e">
        <f>AVERAGE(I72:I91)</f>
        <v>#DIV/0!</v>
      </c>
      <c r="J112" s="74" t="e">
        <f>AVERAGE(J72:J91)</f>
        <v>#DIV/0!</v>
      </c>
      <c r="K112" s="192" t="s">
        <v>252</v>
      </c>
      <c r="L112" s="74" t="e">
        <f t="shared" ref="L112:O112" si="41">AVERAGE(L72:L91)</f>
        <v>#DIV/0!</v>
      </c>
      <c r="M112" s="74" t="e">
        <f t="shared" si="41"/>
        <v>#DIV/0!</v>
      </c>
      <c r="N112" s="74" t="e">
        <f t="shared" si="41"/>
        <v>#DIV/0!</v>
      </c>
      <c r="O112" s="74" t="e">
        <f t="shared" si="41"/>
        <v>#DIV/0!</v>
      </c>
      <c r="P112" s="192" t="s">
        <v>252</v>
      </c>
      <c r="Q112" s="74" t="e">
        <f t="shared" ref="Q112:T112" si="42">AVERAGE(Q72:Q91)</f>
        <v>#DIV/0!</v>
      </c>
      <c r="R112" s="74" t="e">
        <f t="shared" si="42"/>
        <v>#DIV/0!</v>
      </c>
      <c r="S112" s="74" t="e">
        <f t="shared" si="42"/>
        <v>#DIV/0!</v>
      </c>
      <c r="T112" s="74" t="e">
        <f t="shared" si="42"/>
        <v>#DIV/0!</v>
      </c>
    </row>
    <row r="113" spans="1:20">
      <c r="A113" s="40" t="s">
        <v>253</v>
      </c>
      <c r="B113" s="74">
        <f>AVERAGE(B92:B106)</f>
        <v>61674361846.207146</v>
      </c>
      <c r="D113" s="74">
        <f t="shared" ref="D113:F113" si="43">AVERAGE(D92:D106)</f>
        <v>0</v>
      </c>
      <c r="E113" s="74">
        <f t="shared" si="43"/>
        <v>0</v>
      </c>
      <c r="F113" s="74">
        <f t="shared" si="43"/>
        <v>0</v>
      </c>
      <c r="H113" s="74">
        <f>AVERAGE(H92:H106)</f>
        <v>0</v>
      </c>
      <c r="I113" s="74">
        <f>AVERAGE(I92:I106)</f>
        <v>0</v>
      </c>
      <c r="J113" s="74">
        <f>AVERAGE(J92:J106)</f>
        <v>0</v>
      </c>
      <c r="K113" s="192" t="s">
        <v>253</v>
      </c>
      <c r="L113" s="74">
        <f t="shared" ref="L113:O113" si="44">AVERAGE(L92:L106)</f>
        <v>21.027796960300908</v>
      </c>
      <c r="M113" s="74" t="e">
        <f t="shared" si="44"/>
        <v>#DIV/0!</v>
      </c>
      <c r="N113" s="74" t="e">
        <f t="shared" si="44"/>
        <v>#DIV/0!</v>
      </c>
      <c r="O113" s="74" t="e">
        <f t="shared" si="44"/>
        <v>#DIV/0!</v>
      </c>
      <c r="P113" s="192" t="s">
        <v>253</v>
      </c>
      <c r="Q113" s="74">
        <f t="shared" ref="Q113:T113" si="45">AVERAGE(Q92:Q106)</f>
        <v>21.027796960300908</v>
      </c>
      <c r="R113" s="74">
        <f t="shared" si="45"/>
        <v>0</v>
      </c>
      <c r="S113" s="74">
        <f t="shared" si="45"/>
        <v>0</v>
      </c>
      <c r="T113" s="74">
        <f t="shared" si="45"/>
        <v>0</v>
      </c>
    </row>
  </sheetData>
  <mergeCells count="5">
    <mergeCell ref="D9:F9"/>
    <mergeCell ref="H9:J9"/>
    <mergeCell ref="Q9:T9"/>
    <mergeCell ref="L9:O9"/>
    <mergeCell ref="B3:F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6" tint="0.39997558519241921"/>
  </sheetPr>
  <dimension ref="A1:AZ63"/>
  <sheetViews>
    <sheetView tabSelected="1" zoomScale="75" zoomScaleNormal="75" workbookViewId="0">
      <pane ySplit="4" topLeftCell="A5" activePane="bottomLeft" state="frozen"/>
      <selection activeCell="J25" sqref="J25"/>
      <selection pane="bottomLeft" activeCell="W64" sqref="W64:W65"/>
    </sheetView>
  </sheetViews>
  <sheetFormatPr defaultColWidth="9.109375" defaultRowHeight="14.4"/>
  <cols>
    <col min="1" max="16384" width="9.109375" style="1"/>
  </cols>
  <sheetData>
    <row r="1" spans="1:52" s="3" customFormat="1" ht="30.3" customHeight="1">
      <c r="A1" s="28"/>
      <c r="B1" s="29" t="s">
        <v>157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28"/>
      <c r="R1" s="30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</row>
    <row r="2" spans="1:52" s="3" customFormat="1" ht="25.2" customHeight="1" thickBot="1">
      <c r="A2" s="31"/>
      <c r="B2" s="32" t="s">
        <v>158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1"/>
      <c r="R2" s="33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</row>
    <row r="3" spans="1:52" s="4" customFormat="1" ht="23.25" customHeight="1">
      <c r="A3" s="34"/>
      <c r="B3" s="216" t="s">
        <v>159</v>
      </c>
      <c r="C3" s="216"/>
      <c r="D3" s="216"/>
      <c r="E3" s="216"/>
      <c r="F3" s="216"/>
      <c r="G3" s="216"/>
      <c r="H3" s="216"/>
      <c r="I3" s="36"/>
      <c r="J3" s="36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</row>
    <row r="4" spans="1:52">
      <c r="B4" s="2"/>
    </row>
    <row r="5" spans="1:52" ht="18">
      <c r="A5" s="4"/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8"/>
      <c r="O5" s="4"/>
      <c r="P5" s="4"/>
      <c r="Q5" s="4"/>
      <c r="R5" s="4"/>
      <c r="S5" s="4"/>
      <c r="T5" s="4"/>
    </row>
    <row r="6" spans="1:52">
      <c r="B6" s="2"/>
    </row>
    <row r="7" spans="1:52">
      <c r="B7" s="2"/>
    </row>
    <row r="8" spans="1:52">
      <c r="B8" s="2"/>
    </row>
    <row r="9" spans="1:52">
      <c r="B9" s="2"/>
    </row>
    <row r="10" spans="1:52">
      <c r="B10" s="2"/>
    </row>
    <row r="11" spans="1:52">
      <c r="B11" s="2"/>
    </row>
    <row r="12" spans="1:52">
      <c r="B12" s="2"/>
    </row>
    <row r="13" spans="1:52">
      <c r="C13" s="2"/>
    </row>
    <row r="14" spans="1:52">
      <c r="C14" s="2"/>
    </row>
    <row r="15" spans="1:52">
      <c r="C15" s="2"/>
    </row>
    <row r="16" spans="1:52">
      <c r="C16" s="2"/>
    </row>
    <row r="17" spans="1:18">
      <c r="C17" s="2"/>
    </row>
    <row r="18" spans="1:18">
      <c r="C18" s="2"/>
    </row>
    <row r="19" spans="1:18">
      <c r="C19" s="2"/>
    </row>
    <row r="20" spans="1:18">
      <c r="C20" s="2"/>
    </row>
    <row r="21" spans="1:18">
      <c r="C21" s="2"/>
    </row>
    <row r="22" spans="1:18">
      <c r="C22" s="2"/>
    </row>
    <row r="23" spans="1:18">
      <c r="C23" s="2"/>
    </row>
    <row r="24" spans="1:18">
      <c r="C24" s="2"/>
    </row>
    <row r="25" spans="1:18">
      <c r="C25" s="2"/>
    </row>
    <row r="26" spans="1:18">
      <c r="C26" s="2"/>
    </row>
    <row r="27" spans="1:18">
      <c r="C27" s="2"/>
    </row>
    <row r="28" spans="1:18">
      <c r="C28" s="2"/>
    </row>
    <row r="29" spans="1:18">
      <c r="C29" s="2"/>
    </row>
    <row r="30" spans="1:18">
      <c r="D30" s="2"/>
    </row>
    <row r="31" spans="1:18" ht="18">
      <c r="A31" s="4"/>
      <c r="B31" s="4"/>
      <c r="C31" s="4"/>
      <c r="D31" s="2"/>
      <c r="E31" s="4"/>
      <c r="F31" s="4"/>
      <c r="G31" s="4"/>
      <c r="H31" s="4"/>
      <c r="I31" s="4"/>
      <c r="J31" s="4"/>
      <c r="K31" s="4"/>
      <c r="L31" s="4"/>
      <c r="M31" s="4"/>
      <c r="N31" s="4"/>
      <c r="O31" s="7"/>
      <c r="P31" s="4"/>
      <c r="Q31" s="4"/>
      <c r="R31" s="4"/>
    </row>
    <row r="32" spans="1:18">
      <c r="D32" s="2"/>
    </row>
    <row r="33" spans="4:5">
      <c r="D33" s="2"/>
    </row>
    <row r="34" spans="4:5">
      <c r="D34" s="2"/>
    </row>
    <row r="35" spans="4:5">
      <c r="D35" s="2"/>
    </row>
    <row r="36" spans="4:5">
      <c r="D36" s="2"/>
    </row>
    <row r="37" spans="4:5">
      <c r="D37" s="2"/>
    </row>
    <row r="38" spans="4:5">
      <c r="D38" s="2"/>
    </row>
    <row r="39" spans="4:5">
      <c r="D39" s="2"/>
    </row>
    <row r="40" spans="4:5">
      <c r="D40" s="2"/>
    </row>
    <row r="41" spans="4:5">
      <c r="D41" s="2"/>
    </row>
    <row r="42" spans="4:5">
      <c r="D42" s="2"/>
    </row>
    <row r="43" spans="4:5">
      <c r="D43" s="2"/>
    </row>
    <row r="44" spans="4:5">
      <c r="D44" s="2"/>
    </row>
    <row r="45" spans="4:5">
      <c r="D45" s="2"/>
    </row>
    <row r="46" spans="4:5">
      <c r="D46" s="2"/>
    </row>
    <row r="47" spans="4:5">
      <c r="E47" s="2"/>
    </row>
    <row r="48" spans="4:5">
      <c r="E48" s="2"/>
    </row>
    <row r="49" spans="5:5">
      <c r="E49" s="2"/>
    </row>
    <row r="50" spans="5:5">
      <c r="E50" s="2"/>
    </row>
    <row r="51" spans="5:5">
      <c r="E51" s="2"/>
    </row>
    <row r="52" spans="5:5">
      <c r="E52" s="2"/>
    </row>
    <row r="53" spans="5:5">
      <c r="E53" s="2"/>
    </row>
    <row r="54" spans="5:5">
      <c r="E54" s="2"/>
    </row>
    <row r="55" spans="5:5">
      <c r="E55" s="2"/>
    </row>
    <row r="56" spans="5:5">
      <c r="E56" s="2"/>
    </row>
    <row r="57" spans="5:5">
      <c r="E57" s="2"/>
    </row>
    <row r="58" spans="5:5">
      <c r="E58" s="2"/>
    </row>
    <row r="59" spans="5:5">
      <c r="E59" s="2"/>
    </row>
    <row r="60" spans="5:5">
      <c r="E60" s="2"/>
    </row>
    <row r="61" spans="5:5">
      <c r="E61" s="2"/>
    </row>
    <row r="62" spans="5:5">
      <c r="E62" s="2"/>
    </row>
    <row r="63" spans="5:5">
      <c r="E63" s="2"/>
    </row>
  </sheetData>
  <mergeCells count="1">
    <mergeCell ref="B3:H3"/>
  </mergeCells>
  <pageMargins left="0.7" right="0.7" top="0.75" bottom="0.75" header="0.3" footer="0.3"/>
  <pageSetup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E85D-DB5B-419D-B212-5A8DA4B4EBE0}">
  <dimension ref="A1:A12"/>
  <sheetViews>
    <sheetView workbookViewId="0">
      <selection activeCell="L22" sqref="L22"/>
    </sheetView>
  </sheetViews>
  <sheetFormatPr defaultRowHeight="14.4"/>
  <sheetData>
    <row r="1" spans="1:1" ht="15.6">
      <c r="A1" s="205" t="s">
        <v>276</v>
      </c>
    </row>
    <row r="2" spans="1:1">
      <c r="A2" s="206" t="s">
        <v>277</v>
      </c>
    </row>
    <row r="3" spans="1:1">
      <c r="A3" s="206" t="s">
        <v>278</v>
      </c>
    </row>
    <row r="4" spans="1:1">
      <c r="A4" s="206" t="s">
        <v>279</v>
      </c>
    </row>
    <row r="5" spans="1:1">
      <c r="A5" s="206" t="s">
        <v>280</v>
      </c>
    </row>
    <row r="6" spans="1:1">
      <c r="A6" s="206" t="s">
        <v>279</v>
      </c>
    </row>
    <row r="7" spans="1:1">
      <c r="A7" s="206" t="s">
        <v>281</v>
      </c>
    </row>
    <row r="8" spans="1:1">
      <c r="A8" s="206" t="s">
        <v>282</v>
      </c>
    </row>
    <row r="9" spans="1:1">
      <c r="A9" s="206" t="s">
        <v>283</v>
      </c>
    </row>
    <row r="10" spans="1:1">
      <c r="A10" s="206" t="s">
        <v>284</v>
      </c>
    </row>
    <row r="11" spans="1:1">
      <c r="A11" s="206" t="s">
        <v>285</v>
      </c>
    </row>
    <row r="12" spans="1:1">
      <c r="A12" s="206" t="s">
        <v>286</v>
      </c>
    </row>
  </sheetData>
  <hyperlinks>
    <hyperlink ref="A2" r:id="rId1" xr:uid="{3CF79618-81E9-4245-A9BB-99DF372E63B3}"/>
    <hyperlink ref="A3" r:id="rId2" xr:uid="{FA21CE6E-1F2D-44BD-ACF4-D866649150D5}"/>
    <hyperlink ref="A4" r:id="rId3" xr:uid="{5CF37487-AE94-44C9-9B27-8A39B6008B6A}"/>
    <hyperlink ref="A5" r:id="rId4" xr:uid="{9479ABCC-D148-41BA-8C7B-02A764BB363C}"/>
    <hyperlink ref="A6" r:id="rId5" xr:uid="{58057CEA-3B3D-4311-9456-2870251905C1}"/>
    <hyperlink ref="A7" r:id="rId6" xr:uid="{DA4A2C47-CB99-4658-8C6F-5A982CC7AAE2}"/>
    <hyperlink ref="A8" r:id="rId7" xr:uid="{16F47345-9763-4FF8-A86B-AC7F1E78659A}"/>
    <hyperlink ref="A9" r:id="rId8" xr:uid="{99B3F05D-2E4C-41D9-AF86-75955A91ACAD}"/>
    <hyperlink ref="A10" r:id="rId9" xr:uid="{5FA6EBB8-4590-47A5-A4D0-9F9EFF0A6CBB}"/>
    <hyperlink ref="A11" r:id="rId10" xr:uid="{D1FCD779-94C9-4E4B-9DE6-29BF96A64F26}"/>
    <hyperlink ref="A12" r:id="rId11" xr:uid="{F0646B94-598F-4C2F-B68E-8F5856EBEF0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>
    <tabColor rgb="FFFFC000"/>
  </sheetPr>
  <dimension ref="A5:I28"/>
  <sheetViews>
    <sheetView zoomScale="78" zoomScaleNormal="78" workbookViewId="0">
      <selection activeCell="E41" sqref="E41"/>
    </sheetView>
  </sheetViews>
  <sheetFormatPr defaultColWidth="9.109375" defaultRowHeight="14.4"/>
  <cols>
    <col min="1" max="1" width="29.77734375" style="12" customWidth="1"/>
    <col min="2" max="2" width="11" style="12" customWidth="1"/>
    <col min="3" max="3" width="9.44140625" style="12" customWidth="1"/>
    <col min="4" max="4" width="9.77734375" style="12" customWidth="1"/>
    <col min="5" max="5" width="9.44140625" style="12" customWidth="1"/>
    <col min="6" max="6" width="8.77734375" style="12" customWidth="1"/>
    <col min="7" max="7" width="11.44140625" style="12" customWidth="1"/>
    <col min="8" max="8" width="3.44140625" style="12" customWidth="1"/>
    <col min="9" max="9" width="49.21875" style="12" customWidth="1"/>
    <col min="10" max="16384" width="9.109375" style="12"/>
  </cols>
  <sheetData>
    <row r="5" spans="1:9" ht="20.399999999999999">
      <c r="A5" s="26" t="s">
        <v>119</v>
      </c>
      <c r="B5" s="10"/>
      <c r="C5" s="10"/>
      <c r="D5" s="22"/>
      <c r="E5" s="22"/>
      <c r="F5" s="22"/>
      <c r="G5" s="22"/>
      <c r="H5" s="11"/>
    </row>
    <row r="6" spans="1:9" ht="35.4" customHeight="1">
      <c r="A6" s="13"/>
      <c r="B6" s="13" t="s">
        <v>108</v>
      </c>
      <c r="C6" s="14"/>
      <c r="D6" s="17" t="s">
        <v>112</v>
      </c>
      <c r="E6" s="17" t="s">
        <v>113</v>
      </c>
      <c r="F6" s="17" t="s">
        <v>123</v>
      </c>
      <c r="G6" s="15" t="s">
        <v>109</v>
      </c>
      <c r="I6" s="13" t="s">
        <v>110</v>
      </c>
    </row>
    <row r="7" spans="1:9">
      <c r="A7" s="16"/>
      <c r="B7" s="16"/>
    </row>
    <row r="8" spans="1:9" ht="16.8">
      <c r="A8" s="19" t="s">
        <v>124</v>
      </c>
      <c r="B8" s="18"/>
    </row>
    <row r="9" spans="1:9" ht="16.8">
      <c r="A9" s="18" t="s">
        <v>94</v>
      </c>
      <c r="B9" s="18" t="s">
        <v>102</v>
      </c>
    </row>
    <row r="10" spans="1:9" ht="16.8">
      <c r="A10" s="18" t="s">
        <v>97</v>
      </c>
      <c r="B10" s="18" t="s">
        <v>111</v>
      </c>
    </row>
    <row r="11" spans="1:9" ht="16.8">
      <c r="A11" s="18" t="s">
        <v>95</v>
      </c>
      <c r="B11" s="18" t="s">
        <v>102</v>
      </c>
    </row>
    <row r="12" spans="1:9" ht="16.8">
      <c r="A12" s="18" t="s">
        <v>96</v>
      </c>
      <c r="B12" s="18" t="s">
        <v>111</v>
      </c>
    </row>
    <row r="13" spans="1:9" ht="16.8">
      <c r="A13" s="18"/>
      <c r="B13" s="18"/>
    </row>
    <row r="14" spans="1:9" ht="20.399999999999999">
      <c r="A14" s="25" t="s">
        <v>120</v>
      </c>
      <c r="B14" s="23"/>
      <c r="C14" s="24"/>
      <c r="D14" s="24"/>
      <c r="E14" s="24"/>
      <c r="F14" s="24"/>
      <c r="G14" s="24"/>
      <c r="H14" s="10"/>
    </row>
    <row r="15" spans="1:9" ht="16.8">
      <c r="A15" s="18"/>
      <c r="B15" s="18"/>
    </row>
    <row r="16" spans="1:9" ht="16.8">
      <c r="A16" s="18" t="s">
        <v>107</v>
      </c>
      <c r="B16" s="18" t="s">
        <v>103</v>
      </c>
    </row>
    <row r="17" spans="1:7" ht="16.8">
      <c r="A17" s="18" t="s">
        <v>116</v>
      </c>
      <c r="B17" s="18" t="s">
        <v>103</v>
      </c>
    </row>
    <row r="18" spans="1:7" ht="16.8">
      <c r="A18" s="18" t="s">
        <v>117</v>
      </c>
      <c r="B18" s="18" t="s">
        <v>103</v>
      </c>
    </row>
    <row r="19" spans="1:7" ht="16.8">
      <c r="A19" s="18" t="s">
        <v>121</v>
      </c>
      <c r="B19" s="18" t="s">
        <v>103</v>
      </c>
    </row>
    <row r="20" spans="1:7" ht="16.8">
      <c r="A20" s="18" t="s">
        <v>122</v>
      </c>
      <c r="B20" s="18" t="s">
        <v>103</v>
      </c>
    </row>
    <row r="21" spans="1:7" ht="15.75" customHeight="1">
      <c r="A21" s="18" t="s">
        <v>118</v>
      </c>
      <c r="B21" s="18" t="s">
        <v>103</v>
      </c>
    </row>
    <row r="22" spans="1:7" ht="13.65" customHeight="1">
      <c r="A22" s="18" t="s">
        <v>104</v>
      </c>
      <c r="B22" s="18" t="s">
        <v>103</v>
      </c>
    </row>
    <row r="23" spans="1:7" ht="16.8">
      <c r="A23" s="20"/>
      <c r="B23" s="20"/>
    </row>
    <row r="24" spans="1:7" ht="20.399999999999999">
      <c r="A24" s="27" t="s">
        <v>126</v>
      </c>
      <c r="B24" s="21"/>
      <c r="C24" s="10"/>
      <c r="D24" s="10"/>
      <c r="E24" s="10"/>
      <c r="F24" s="10"/>
      <c r="G24" s="10"/>
    </row>
    <row r="25" spans="1:7" ht="16.8">
      <c r="A25" s="20"/>
      <c r="B25" s="20"/>
    </row>
    <row r="26" spans="1:7" ht="16.8">
      <c r="A26" s="20" t="s">
        <v>114</v>
      </c>
      <c r="B26" s="20"/>
    </row>
    <row r="27" spans="1:7" ht="16.8">
      <c r="A27" s="20" t="s">
        <v>115</v>
      </c>
      <c r="B27" s="20"/>
    </row>
    <row r="28" spans="1:7" ht="16.8">
      <c r="A28" s="20" t="s">
        <v>125</v>
      </c>
      <c r="B28" s="20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1.Reel GSYH </vt:lpstr>
      <vt:lpstr>1a. Reel GSYH Payı</vt:lpstr>
      <vt:lpstr>1b. Reel GSYH Pay Grafikleri</vt:lpstr>
      <vt:lpstr>1c. Büyümeye Katkı</vt:lpstr>
      <vt:lpstr>1d. Katkı Grafikleri</vt:lpstr>
      <vt:lpstr>2.Özel Tüketim</vt:lpstr>
      <vt:lpstr>2a. Özel Tük. Grafikler</vt:lpstr>
      <vt:lpstr>3. Özel Yatırımlar</vt:lpstr>
      <vt:lpstr>3a. Özel Yatırım Grafikler</vt:lpstr>
      <vt:lpstr>KAYNAKÇA</vt:lpstr>
      <vt:lpstr>5.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</dc:creator>
  <cp:lastModifiedBy>destkop destkop</cp:lastModifiedBy>
  <dcterms:created xsi:type="dcterms:W3CDTF">2016-04-22T20:42:41Z</dcterms:created>
  <dcterms:modified xsi:type="dcterms:W3CDTF">2023-04-26T21:56:41Z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-968687034</vt:i4>
  </property>
  <property fmtid="{D5CDD505-2E9C-101B-9397-08002B2CF9AE}" pid="4" name="_EmailSubject">
    <vt:lpwstr>MDSx: Module 3 questions</vt:lpwstr>
  </property>
  <property fmtid="{D5CDD505-2E9C-101B-9397-08002B2CF9AE}" pid="5" name="_AuthorEmail">
    <vt:lpwstr>GStisman@imf.org</vt:lpwstr>
  </property>
  <property fmtid="{D5CDD505-2E9C-101B-9397-08002B2CF9AE}" pid="6" name="_AuthorEmailDisplayName">
    <vt:lpwstr>Stisman, Gustavo</vt:lpwstr>
  </property>
  <property fmtid="{D5CDD505-2E9C-101B-9397-08002B2CF9AE}" pid="7" name="_PreviousAdHocReviewCycleID">
    <vt:i4>-1882608312</vt:i4>
  </property>
  <property fmtid="{D5CDD505-2E9C-101B-9397-08002B2CF9AE}" pid="8" name="_ReviewingToolsShownOnce">
    <vt:lpwstr/>
  </property>
</Properties>
</file>